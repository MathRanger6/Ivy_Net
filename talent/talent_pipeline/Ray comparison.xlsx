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levine/Library/CloudStorage/Dropbox/1-Documents/00- Dissertation/0-Next_Chapter/Code_and_Data/New SQL and PY Code/Cursor Workspace PDE/"/>
    </mc:Choice>
  </mc:AlternateContent>
  <xr:revisionPtr revIDLastSave="0" documentId="13_ncr:1_{16530605-7A5E-154A-B314-37E00407E65D}" xr6:coauthVersionLast="47" xr6:coauthVersionMax="47" xr10:uidLastSave="{00000000-0000-0000-0000-000000000000}"/>
  <bookViews>
    <workbookView minimized="1" xWindow="10160" yWindow="2420" windowWidth="20700" windowHeight="19720" activeTab="2" xr2:uid="{03F265ED-8C90-8242-AABC-C4D3CEA94924}"/>
  </bookViews>
  <sheets>
    <sheet name="Sheet1 (2)" sheetId="2" r:id="rId1"/>
    <sheet name="Sheet1" sheetId="1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2" l="1"/>
  <c r="D75" i="2"/>
  <c r="E75" i="2" s="1"/>
  <c r="D70" i="2"/>
  <c r="E70" i="2" s="1"/>
  <c r="F65" i="2"/>
  <c r="E65" i="2"/>
  <c r="F64" i="2"/>
  <c r="E64" i="2"/>
  <c r="F63" i="2"/>
  <c r="E63" i="2"/>
  <c r="F62" i="2"/>
  <c r="E62" i="2"/>
  <c r="F61" i="2"/>
  <c r="E61" i="2"/>
  <c r="F60" i="2"/>
  <c r="E60" i="2"/>
  <c r="E59" i="2"/>
  <c r="F58" i="2"/>
  <c r="E58" i="2"/>
  <c r="F57" i="2"/>
  <c r="E57" i="2"/>
  <c r="F56" i="2"/>
  <c r="E56" i="2"/>
  <c r="F55" i="2"/>
  <c r="E55" i="2"/>
  <c r="F54" i="2"/>
  <c r="E54" i="2"/>
  <c r="F48" i="2"/>
  <c r="M75" i="2"/>
  <c r="N75" i="2" s="1"/>
  <c r="M70" i="2"/>
  <c r="N70" i="2" s="1"/>
  <c r="L59" i="2"/>
  <c r="N59" i="2"/>
  <c r="J70" i="2"/>
  <c r="K70" i="2" s="1"/>
  <c r="G75" i="2"/>
  <c r="H75" i="2" s="1"/>
  <c r="G70" i="2"/>
  <c r="H70" i="2" s="1"/>
  <c r="I65" i="2"/>
  <c r="H65" i="2"/>
  <c r="I64" i="2"/>
  <c r="H64" i="2"/>
  <c r="I63" i="2"/>
  <c r="H63" i="2"/>
  <c r="I62" i="2"/>
  <c r="H62" i="2"/>
  <c r="I61" i="2"/>
  <c r="H61" i="2"/>
  <c r="I60" i="2"/>
  <c r="H60" i="2"/>
  <c r="H59" i="2"/>
  <c r="I58" i="2"/>
  <c r="H58" i="2"/>
  <c r="I57" i="2"/>
  <c r="H57" i="2"/>
  <c r="I56" i="2"/>
  <c r="H56" i="2"/>
  <c r="I55" i="2"/>
  <c r="H55" i="2"/>
  <c r="I54" i="2"/>
  <c r="H54" i="2"/>
  <c r="I48" i="2"/>
  <c r="B70" i="2"/>
  <c r="C70" i="2" s="1"/>
  <c r="K57" i="2"/>
  <c r="L55" i="2"/>
  <c r="L56" i="2"/>
  <c r="L57" i="2"/>
  <c r="L58" i="2"/>
  <c r="L60" i="2"/>
  <c r="L61" i="2"/>
  <c r="L62" i="2"/>
  <c r="L63" i="2"/>
  <c r="L64" i="2"/>
  <c r="L65" i="2"/>
  <c r="L54" i="2"/>
  <c r="C59" i="2"/>
  <c r="K59" i="2"/>
  <c r="J75" i="2"/>
  <c r="K75" i="2" s="1"/>
  <c r="K65" i="2"/>
  <c r="K64" i="2"/>
  <c r="K63" i="2"/>
  <c r="K62" i="2"/>
  <c r="K61" i="2"/>
  <c r="K60" i="2"/>
  <c r="K58" i="2"/>
  <c r="K56" i="2"/>
  <c r="K55" i="2"/>
  <c r="K54" i="2"/>
  <c r="L48" i="2"/>
  <c r="O55" i="2"/>
  <c r="O56" i="2"/>
  <c r="O57" i="2"/>
  <c r="O58" i="2"/>
  <c r="O59" i="2"/>
  <c r="O60" i="2"/>
  <c r="O61" i="2"/>
  <c r="O62" i="2"/>
  <c r="O63" i="2"/>
  <c r="O64" i="2"/>
  <c r="O65" i="2"/>
  <c r="O54" i="2"/>
  <c r="O49" i="2"/>
  <c r="O50" i="2"/>
  <c r="O48" i="2"/>
  <c r="P48" i="2" s="1"/>
  <c r="B75" i="2"/>
  <c r="C75" i="2" s="1"/>
  <c r="N65" i="2"/>
  <c r="C65" i="2"/>
  <c r="N64" i="2"/>
  <c r="C64" i="2"/>
  <c r="N63" i="2"/>
  <c r="C63" i="2"/>
  <c r="N62" i="2"/>
  <c r="C62" i="2"/>
  <c r="N61" i="2"/>
  <c r="C61" i="2"/>
  <c r="N60" i="2"/>
  <c r="C60" i="2"/>
  <c r="N58" i="2"/>
  <c r="C58" i="2"/>
  <c r="N57" i="2"/>
  <c r="C57" i="2"/>
  <c r="N56" i="2"/>
  <c r="C56" i="2"/>
  <c r="N55" i="2"/>
  <c r="C55" i="2"/>
  <c r="N54" i="2"/>
  <c r="C54" i="2"/>
  <c r="H21" i="2"/>
  <c r="H20" i="2"/>
  <c r="H19" i="2"/>
  <c r="H18" i="2"/>
  <c r="H17" i="2"/>
  <c r="H16" i="2"/>
  <c r="H14" i="2"/>
  <c r="H13" i="2"/>
  <c r="H12" i="2"/>
  <c r="H11" i="2"/>
  <c r="H10" i="2"/>
  <c r="I27" i="2"/>
  <c r="G27" i="2"/>
  <c r="I33" i="2"/>
  <c r="G33" i="2"/>
  <c r="H33" i="2" s="1"/>
  <c r="C11" i="2"/>
  <c r="C12" i="2"/>
  <c r="C13" i="2"/>
  <c r="C14" i="2"/>
  <c r="C16" i="2"/>
  <c r="C17" i="2"/>
  <c r="C18" i="2"/>
  <c r="C19" i="2"/>
  <c r="C20" i="2"/>
  <c r="C21" i="2"/>
  <c r="C10" i="2"/>
  <c r="K14" i="2"/>
  <c r="K16" i="2"/>
  <c r="K17" i="2"/>
  <c r="K18" i="2"/>
  <c r="K19" i="2"/>
  <c r="K20" i="2"/>
  <c r="K21" i="2"/>
  <c r="J16" i="2"/>
  <c r="J17" i="2"/>
  <c r="J18" i="2"/>
  <c r="J19" i="2"/>
  <c r="J20" i="2"/>
  <c r="J21" i="2"/>
  <c r="J14" i="2"/>
  <c r="J12" i="2"/>
  <c r="J11" i="2"/>
  <c r="J13" i="2"/>
  <c r="J10" i="2"/>
  <c r="K13" i="2"/>
  <c r="K12" i="2"/>
  <c r="K5" i="2"/>
  <c r="K6" i="2"/>
  <c r="K4" i="2"/>
  <c r="L16" i="2" s="1"/>
  <c r="M16" i="2" s="1"/>
  <c r="K11" i="2"/>
  <c r="K10" i="2"/>
  <c r="B41" i="2"/>
  <c r="B33" i="2"/>
  <c r="B27" i="2"/>
  <c r="G30" i="1"/>
  <c r="G24" i="1"/>
  <c r="F30" i="1"/>
  <c r="F24" i="1"/>
  <c r="E30" i="1"/>
  <c r="E24" i="1"/>
  <c r="D24" i="1"/>
  <c r="D30" i="1"/>
  <c r="C24" i="1"/>
  <c r="C30" i="1"/>
  <c r="Q48" i="2" l="1"/>
  <c r="P64" i="2"/>
  <c r="Q64" i="2" s="1"/>
  <c r="R64" i="2" s="1"/>
  <c r="P65" i="2"/>
  <c r="Q65" i="2" s="1"/>
  <c r="R65" i="2" s="1"/>
  <c r="P50" i="2"/>
  <c r="Q50" i="2" s="1"/>
  <c r="P57" i="2"/>
  <c r="Q57" i="2" s="1"/>
  <c r="R57" i="2" s="1"/>
  <c r="P55" i="2"/>
  <c r="Q55" i="2" s="1"/>
  <c r="R55" i="2" s="1"/>
  <c r="P54" i="2"/>
  <c r="Q54" i="2" s="1"/>
  <c r="R54" i="2" s="1"/>
  <c r="P59" i="2"/>
  <c r="Q59" i="2" s="1"/>
  <c r="P56" i="2"/>
  <c r="Q56" i="2" s="1"/>
  <c r="R56" i="2" s="1"/>
  <c r="P49" i="2"/>
  <c r="Q49" i="2" s="1"/>
  <c r="P63" i="2"/>
  <c r="Q63" i="2" s="1"/>
  <c r="R63" i="2" s="1"/>
  <c r="P62" i="2"/>
  <c r="Q62" i="2" s="1"/>
  <c r="R62" i="2" s="1"/>
  <c r="P61" i="2"/>
  <c r="Q61" i="2" s="1"/>
  <c r="R61" i="2" s="1"/>
  <c r="P60" i="2"/>
  <c r="Q60" i="2" s="1"/>
  <c r="R60" i="2" s="1"/>
  <c r="P58" i="2"/>
  <c r="Q58" i="2" s="1"/>
  <c r="R58" i="2" s="1"/>
  <c r="L17" i="2"/>
  <c r="M17" i="2" s="1"/>
  <c r="L19" i="2"/>
  <c r="M19" i="2" s="1"/>
  <c r="L13" i="2"/>
  <c r="M13" i="2" s="1"/>
  <c r="L6" i="2"/>
  <c r="L10" i="2"/>
  <c r="M10" i="2" s="1"/>
  <c r="L20" i="2"/>
  <c r="M20" i="2" s="1"/>
  <c r="L21" i="2"/>
  <c r="M21" i="2" s="1"/>
</calcChain>
</file>

<file path=xl/sharedStrings.xml><?xml version="1.0" encoding="utf-8"?>
<sst xmlns="http://schemas.openxmlformats.org/spreadsheetml/2006/main" count="139" uniqueCount="55">
  <si>
    <t>parallel backward lookup</t>
  </si>
  <si>
    <t>concatenating</t>
  </si>
  <si>
    <t>parallel grade metrics lookup</t>
  </si>
  <si>
    <t>officers</t>
  </si>
  <si>
    <t>grade-based ratio metrics</t>
  </si>
  <si>
    <t>computer rater given metrics</t>
  </si>
  <si>
    <t>compute senior rater given metrics</t>
  </si>
  <si>
    <t>concatenate</t>
  </si>
  <si>
    <t>create lookups</t>
  </si>
  <si>
    <t>perc</t>
  </si>
  <si>
    <t>snaps</t>
  </si>
  <si>
    <t>start</t>
  </si>
  <si>
    <t>qty</t>
  </si>
  <si>
    <t>add cum metrics function hr</t>
  </si>
  <si>
    <t>add cum metrics function min</t>
  </si>
  <si>
    <t>add cum metrics function sec</t>
  </si>
  <si>
    <t>add cum metrics function hund</t>
  </si>
  <si>
    <t>add cum metrics function TOTAL</t>
  </si>
  <si>
    <t>df_master ofcrs</t>
  </si>
  <si>
    <t>df_oer_ofcrs (cpts)</t>
  </si>
  <si>
    <t>snaps hr</t>
  </si>
  <si>
    <t>snaps min</t>
  </si>
  <si>
    <t>snaps sec</t>
  </si>
  <si>
    <t>snaps hund</t>
  </si>
  <si>
    <t>snaps TOTAL</t>
  </si>
  <si>
    <t>RAY</t>
  </si>
  <si>
    <t>Ray cleanup</t>
  </si>
  <si>
    <t>seconds</t>
  </si>
  <si>
    <t>computing dor columns</t>
  </si>
  <si>
    <t>min</t>
  </si>
  <si>
    <t>sec</t>
  </si>
  <si>
    <t>hund</t>
  </si>
  <si>
    <t>total</t>
  </si>
  <si>
    <t>hr</t>
  </si>
  <si>
    <t>Quotient</t>
  </si>
  <si>
    <t>Prediction</t>
  </si>
  <si>
    <t>time</t>
  </si>
  <si>
    <t>compute rolling window metrics</t>
  </si>
  <si>
    <t>Raylet</t>
  </si>
  <si>
    <t>5 to 70</t>
  </si>
  <si>
    <t>RAYLET</t>
  </si>
  <si>
    <t>deviation</t>
  </si>
  <si>
    <t>70 to 35</t>
  </si>
  <si>
    <t>factor</t>
  </si>
  <si>
    <t>5 to 35</t>
  </si>
  <si>
    <t>NOT USING PARALLEL</t>
  </si>
  <si>
    <t>101ABN</t>
  </si>
  <si>
    <t>started 00:48:17</t>
  </si>
  <si>
    <t>3ID</t>
  </si>
  <si>
    <t>82ABN</t>
  </si>
  <si>
    <t>officers in snapshots</t>
  </si>
  <si>
    <t>officers in snapshots with OERs</t>
  </si>
  <si>
    <t>CELL 2</t>
  </si>
  <si>
    <t>Basic Filtering</t>
  </si>
  <si>
    <t>commisioned officers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</si>
</sst>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[hh]:mm:ss"/>
    <numFmt numFmtId="166" formatCode="[hh]:mm:ss.00"/>
    <numFmt numFmtId="167" formatCode="m:ss.0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432FF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4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3" fontId="0" fillId="0" borderId="0" xfId="1" applyFont="1"/>
    <xf numFmtId="164" fontId="0" fillId="0" borderId="0" xfId="1" applyNumberFormat="1" applyFont="1"/>
    <xf numFmtId="2" fontId="0" fillId="0" borderId="0" xfId="0" applyNumberFormat="1" applyAlignment="1">
      <alignment horizontal="center"/>
    </xf>
    <xf numFmtId="43" fontId="0" fillId="0" borderId="0" xfId="0" applyNumberFormat="1"/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166" fontId="0" fillId="0" borderId="0" xfId="0" applyNumberFormat="1"/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7" fontId="4" fillId="0" borderId="0" xfId="1" applyNumberFormat="1" applyFont="1" applyAlignment="1">
      <alignment horizontal="center"/>
    </xf>
    <xf numFmtId="167" fontId="0" fillId="0" borderId="0" xfId="0" applyNumberFormat="1"/>
    <xf numFmtId="167" fontId="4" fillId="0" borderId="0" xfId="0" applyNumberFormat="1" applyFont="1"/>
    <xf numFmtId="43" fontId="2" fillId="0" borderId="0" xfId="0" applyNumberFormat="1" applyFont="1" applyAlignment="1">
      <alignment horizontal="center"/>
    </xf>
    <xf numFmtId="167" fontId="2" fillId="0" borderId="0" xfId="0" applyNumberFormat="1" applyFont="1"/>
    <xf numFmtId="165" fontId="2" fillId="0" borderId="0" xfId="0" applyNumberFormat="1" applyFont="1" applyAlignment="1">
      <alignment horizontal="center"/>
    </xf>
    <xf numFmtId="164" fontId="0" fillId="0" borderId="3" xfId="1" applyNumberFormat="1" applyFont="1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3" fontId="0" fillId="0" borderId="3" xfId="0" applyNumberFormat="1" applyBorder="1"/>
    <xf numFmtId="167" fontId="4" fillId="0" borderId="4" xfId="0" applyNumberFormat="1" applyFont="1" applyBorder="1"/>
    <xf numFmtId="43" fontId="0" fillId="0" borderId="3" xfId="1" applyFont="1" applyBorder="1" applyAlignment="1">
      <alignment horizontal="center"/>
    </xf>
    <xf numFmtId="167" fontId="4" fillId="0" borderId="6" xfId="0" applyNumberFormat="1" applyFont="1" applyBorder="1"/>
    <xf numFmtId="0" fontId="0" fillId="0" borderId="3" xfId="0" applyBorder="1"/>
    <xf numFmtId="164" fontId="0" fillId="0" borderId="0" xfId="1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167" fontId="4" fillId="0" borderId="0" xfId="1" applyNumberFormat="1" applyFont="1" applyBorder="1" applyAlignment="1">
      <alignment horizontal="center"/>
    </xf>
    <xf numFmtId="164" fontId="2" fillId="0" borderId="0" xfId="1" applyNumberFormat="1" applyFont="1" applyAlignment="1">
      <alignment horizontal="center"/>
    </xf>
    <xf numFmtId="0" fontId="2" fillId="0" borderId="0" xfId="0" applyFont="1"/>
    <xf numFmtId="166" fontId="2" fillId="0" borderId="0" xfId="0" applyNumberFormat="1" applyFont="1"/>
    <xf numFmtId="164" fontId="0" fillId="0" borderId="3" xfId="1" applyNumberFormat="1" applyFont="1" applyBorder="1"/>
    <xf numFmtId="43" fontId="0" fillId="0" borderId="3" xfId="1" applyFont="1" applyBorder="1" applyAlignment="1"/>
    <xf numFmtId="43" fontId="0" fillId="0" borderId="5" xfId="1" applyFont="1" applyBorder="1" applyAlignment="1"/>
    <xf numFmtId="2" fontId="0" fillId="0" borderId="3" xfId="1" applyNumberFormat="1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5" xfId="1" applyNumberFormat="1" applyFont="1" applyBorder="1" applyAlignment="1">
      <alignment horizontal="center"/>
    </xf>
    <xf numFmtId="1" fontId="0" fillId="0" borderId="3" xfId="1" applyNumberFormat="1" applyFont="1" applyBorder="1" applyAlignment="1"/>
    <xf numFmtId="1" fontId="0" fillId="0" borderId="3" xfId="0" applyNumberFormat="1" applyBorder="1"/>
    <xf numFmtId="1" fontId="0" fillId="0" borderId="3" xfId="0" applyNumberFormat="1" applyBorder="1" applyAlignment="1">
      <alignment horizontal="center"/>
    </xf>
    <xf numFmtId="1" fontId="0" fillId="0" borderId="3" xfId="1" applyNumberFormat="1" applyFont="1" applyBorder="1" applyAlignment="1">
      <alignment horizontal="center"/>
    </xf>
    <xf numFmtId="47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right"/>
    </xf>
    <xf numFmtId="166" fontId="0" fillId="0" borderId="4" xfId="0" applyNumberFormat="1" applyBorder="1" applyAlignment="1">
      <alignment horizontal="center"/>
    </xf>
    <xf numFmtId="166" fontId="4" fillId="0" borderId="4" xfId="0" applyNumberFormat="1" applyFont="1" applyBorder="1"/>
    <xf numFmtId="2" fontId="0" fillId="0" borderId="3" xfId="0" applyNumberFormat="1" applyBorder="1"/>
    <xf numFmtId="0" fontId="5" fillId="0" borderId="3" xfId="0" applyFont="1" applyBorder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B2D5D-9F6D-CF4E-B3F0-B9A2B3AB5746}">
  <dimension ref="A2:U79"/>
  <sheetViews>
    <sheetView topLeftCell="A35" zoomScale="134" workbookViewId="0">
      <pane xSplit="1" topLeftCell="B1" activePane="topRight" state="frozen"/>
      <selection activeCell="A43" sqref="A43"/>
      <selection pane="topRight" activeCell="F47" sqref="F47"/>
    </sheetView>
  </sheetViews>
  <sheetFormatPr baseColWidth="10" defaultRowHeight="16" x14ac:dyDescent="0.2"/>
  <cols>
    <col min="1" max="1" width="29.5" customWidth="1"/>
    <col min="2" max="2" width="13.1640625" style="1" bestFit="1" customWidth="1"/>
    <col min="8" max="13" width="10.83203125" style="1"/>
    <col min="14" max="14" width="11.5" style="1" bestFit="1" customWidth="1"/>
    <col min="15" max="15" width="10.83203125" style="1"/>
    <col min="16" max="16" width="15" style="1" customWidth="1"/>
  </cols>
  <sheetData>
    <row r="2" spans="1:16" x14ac:dyDescent="0.2">
      <c r="B2" s="1" t="s">
        <v>38</v>
      </c>
      <c r="C2" s="1"/>
      <c r="D2" s="1"/>
      <c r="E2" s="1"/>
      <c r="F2" s="1"/>
      <c r="G2" s="1" t="s">
        <v>38</v>
      </c>
      <c r="I2" s="1" t="s">
        <v>38</v>
      </c>
      <c r="M2"/>
      <c r="N2"/>
      <c r="O2"/>
      <c r="P2"/>
    </row>
    <row r="3" spans="1:16" x14ac:dyDescent="0.2">
      <c r="A3" t="s">
        <v>19</v>
      </c>
      <c r="B3" s="3"/>
      <c r="C3" s="3"/>
      <c r="D3" s="3"/>
      <c r="E3" s="3"/>
      <c r="F3" s="3"/>
      <c r="G3" s="3"/>
      <c r="H3" s="3"/>
      <c r="J3" s="1" t="s">
        <v>36</v>
      </c>
      <c r="K3" s="1" t="s">
        <v>34</v>
      </c>
      <c r="L3" s="14" t="s">
        <v>35</v>
      </c>
      <c r="M3" s="15" t="s">
        <v>36</v>
      </c>
      <c r="N3"/>
      <c r="O3"/>
      <c r="P3"/>
    </row>
    <row r="4" spans="1:16" x14ac:dyDescent="0.2">
      <c r="A4" t="s">
        <v>9</v>
      </c>
      <c r="B4" s="11">
        <v>5</v>
      </c>
      <c r="C4" s="11"/>
      <c r="D4" s="11"/>
      <c r="E4" s="11"/>
      <c r="F4" s="11"/>
      <c r="G4" s="11">
        <v>5</v>
      </c>
      <c r="H4" s="11"/>
      <c r="I4" s="11">
        <v>70</v>
      </c>
      <c r="J4" s="11"/>
      <c r="K4" s="12">
        <f>I4/B4</f>
        <v>14</v>
      </c>
      <c r="M4"/>
      <c r="N4"/>
      <c r="O4"/>
      <c r="P4"/>
    </row>
    <row r="5" spans="1:16" x14ac:dyDescent="0.2">
      <c r="A5" t="s">
        <v>3</v>
      </c>
      <c r="B5" s="3">
        <v>12301</v>
      </c>
      <c r="C5" s="3"/>
      <c r="D5" s="3"/>
      <c r="E5" s="3"/>
      <c r="F5" s="3"/>
      <c r="G5" s="3">
        <v>12301</v>
      </c>
      <c r="H5" s="3"/>
      <c r="I5" s="3">
        <v>264024</v>
      </c>
      <c r="J5" s="3"/>
      <c r="K5" s="8">
        <f>I5/B5</f>
        <v>21.463620843833834</v>
      </c>
      <c r="L5" s="10"/>
      <c r="M5"/>
      <c r="N5"/>
      <c r="O5"/>
      <c r="P5"/>
    </row>
    <row r="6" spans="1:16" x14ac:dyDescent="0.2">
      <c r="A6" t="s">
        <v>18</v>
      </c>
      <c r="B6" s="3">
        <v>4046</v>
      </c>
      <c r="C6" s="3"/>
      <c r="D6" s="3"/>
      <c r="E6" s="3"/>
      <c r="F6" s="3"/>
      <c r="G6" s="3">
        <v>4123</v>
      </c>
      <c r="H6" s="3"/>
      <c r="I6" s="3">
        <v>56816</v>
      </c>
      <c r="J6" s="3"/>
      <c r="K6" s="8">
        <f>I6/B6</f>
        <v>14.042511122095897</v>
      </c>
      <c r="L6" s="4">
        <f>B6*$K$4</f>
        <v>56644</v>
      </c>
      <c r="M6" s="13"/>
      <c r="N6"/>
      <c r="O6"/>
      <c r="P6"/>
    </row>
    <row r="7" spans="1:16" x14ac:dyDescent="0.2">
      <c r="A7" t="s">
        <v>10</v>
      </c>
      <c r="B7" s="3">
        <v>55</v>
      </c>
      <c r="C7" s="3"/>
      <c r="D7" s="3"/>
      <c r="E7" s="3"/>
      <c r="F7" s="3"/>
      <c r="G7" s="3">
        <v>55</v>
      </c>
      <c r="H7" s="3"/>
      <c r="I7" s="3">
        <v>55</v>
      </c>
      <c r="J7" s="3"/>
      <c r="M7"/>
      <c r="N7"/>
      <c r="O7"/>
      <c r="P7"/>
    </row>
    <row r="8" spans="1:16" x14ac:dyDescent="0.2">
      <c r="A8" t="s">
        <v>11</v>
      </c>
      <c r="B8" s="5">
        <v>39813</v>
      </c>
      <c r="C8" s="5"/>
      <c r="D8" s="5"/>
      <c r="E8" s="5"/>
      <c r="F8" s="5"/>
      <c r="G8" s="5"/>
      <c r="H8" s="5"/>
      <c r="I8" s="5">
        <v>39813</v>
      </c>
      <c r="J8" s="5"/>
      <c r="M8"/>
      <c r="N8"/>
      <c r="O8"/>
      <c r="P8"/>
    </row>
    <row r="9" spans="1:16" x14ac:dyDescent="0.2">
      <c r="C9" s="1"/>
      <c r="D9" s="1"/>
      <c r="E9" s="1"/>
      <c r="F9" s="1"/>
      <c r="G9" s="1"/>
      <c r="M9"/>
      <c r="N9"/>
      <c r="O9"/>
      <c r="P9"/>
    </row>
    <row r="10" spans="1:16" x14ac:dyDescent="0.2">
      <c r="A10" t="s">
        <v>0</v>
      </c>
      <c r="B10" s="2">
        <v>47.04</v>
      </c>
      <c r="C10" s="17">
        <f>B10/86400</f>
        <v>5.444444444444444E-4</v>
      </c>
      <c r="D10" s="17"/>
      <c r="E10" s="17"/>
      <c r="F10" s="17"/>
      <c r="G10" s="9">
        <v>48.09</v>
      </c>
      <c r="H10" s="18">
        <f>G10/86400</f>
        <v>5.5659722222222222E-4</v>
      </c>
      <c r="I10" s="2">
        <v>669.18</v>
      </c>
      <c r="J10" s="16">
        <f>I10/86400</f>
        <v>7.7451388888888882E-3</v>
      </c>
      <c r="K10" s="8">
        <f>I10/B10</f>
        <v>14.225765306122447</v>
      </c>
      <c r="L10" s="19">
        <f>B10*$K$4</f>
        <v>658.56</v>
      </c>
      <c r="M10" s="20">
        <f>L10/86400</f>
        <v>7.6222222222222212E-3</v>
      </c>
      <c r="N10"/>
      <c r="O10"/>
      <c r="P10"/>
    </row>
    <row r="11" spans="1:16" x14ac:dyDescent="0.2">
      <c r="A11" t="s">
        <v>1</v>
      </c>
      <c r="B11" s="2">
        <v>7.21</v>
      </c>
      <c r="C11" s="17">
        <f t="shared" ref="C11:H21" si="0">B11/86400</f>
        <v>8.3449074074074071E-5</v>
      </c>
      <c r="D11" s="17"/>
      <c r="E11" s="17"/>
      <c r="F11" s="17"/>
      <c r="G11" s="9">
        <v>7.1</v>
      </c>
      <c r="H11" s="18">
        <f t="shared" si="0"/>
        <v>8.2175925925925917E-5</v>
      </c>
      <c r="I11" s="2">
        <v>427.4</v>
      </c>
      <c r="J11" s="16">
        <f>I11/86400</f>
        <v>4.9467592592592593E-3</v>
      </c>
      <c r="K11" s="8">
        <f>I11/B11</f>
        <v>59.278779472954227</v>
      </c>
      <c r="L11" s="21"/>
      <c r="M11" s="20"/>
      <c r="N11"/>
      <c r="O11"/>
      <c r="P11"/>
    </row>
    <row r="12" spans="1:16" x14ac:dyDescent="0.2">
      <c r="A12" t="s">
        <v>28</v>
      </c>
      <c r="B12" s="2">
        <v>1.75</v>
      </c>
      <c r="C12" s="17">
        <f t="shared" si="0"/>
        <v>2.0254629629629629E-5</v>
      </c>
      <c r="D12" s="17"/>
      <c r="E12" s="17"/>
      <c r="F12" s="17"/>
      <c r="G12" s="9">
        <v>1.84</v>
      </c>
      <c r="H12" s="18">
        <f t="shared" si="0"/>
        <v>2.1296296296296296E-5</v>
      </c>
      <c r="I12" s="2">
        <v>30.1</v>
      </c>
      <c r="J12" s="16">
        <f>I12/86400</f>
        <v>3.4837962962962964E-4</v>
      </c>
      <c r="K12" s="8">
        <f>I12/B12</f>
        <v>17.2</v>
      </c>
      <c r="L12" s="21"/>
      <c r="M12" s="20"/>
      <c r="N12"/>
      <c r="O12"/>
      <c r="P12"/>
    </row>
    <row r="13" spans="1:16" x14ac:dyDescent="0.2">
      <c r="A13" t="s">
        <v>2</v>
      </c>
      <c r="B13" s="2">
        <v>74.989999999999995</v>
      </c>
      <c r="C13" s="17">
        <f t="shared" si="0"/>
        <v>8.6793981481481477E-4</v>
      </c>
      <c r="D13" s="17"/>
      <c r="E13" s="17"/>
      <c r="F13" s="17"/>
      <c r="G13" s="9">
        <v>76.260000000000005</v>
      </c>
      <c r="H13" s="18">
        <f t="shared" si="0"/>
        <v>8.8263888888888897E-4</v>
      </c>
      <c r="I13" s="2">
        <v>1076.44</v>
      </c>
      <c r="J13" s="16">
        <f>I13/86400</f>
        <v>1.2458796296296298E-2</v>
      </c>
      <c r="K13" s="8">
        <f>I13/B13</f>
        <v>14.35444725963462</v>
      </c>
      <c r="L13" s="19">
        <f>B13*$K$4</f>
        <v>1049.8599999999999</v>
      </c>
      <c r="M13" s="20">
        <f>L13/86400</f>
        <v>1.2151157407407406E-2</v>
      </c>
      <c r="N13" s="9"/>
      <c r="O13"/>
      <c r="P13"/>
    </row>
    <row r="14" spans="1:16" x14ac:dyDescent="0.2">
      <c r="A14" t="s">
        <v>4</v>
      </c>
      <c r="B14" s="2">
        <v>0.01</v>
      </c>
      <c r="C14" s="17">
        <f t="shared" si="0"/>
        <v>1.1574074074074074E-7</v>
      </c>
      <c r="D14" s="17"/>
      <c r="E14" s="17"/>
      <c r="F14" s="17"/>
      <c r="G14" s="9">
        <v>0.01</v>
      </c>
      <c r="H14" s="18">
        <f t="shared" si="0"/>
        <v>1.1574074074074074E-7</v>
      </c>
      <c r="I14" s="2">
        <v>0.04</v>
      </c>
      <c r="J14" s="16">
        <f>I14/86400</f>
        <v>4.6296296296296297E-7</v>
      </c>
      <c r="K14" s="8">
        <f>I14/B14</f>
        <v>4</v>
      </c>
      <c r="L14" s="15"/>
      <c r="M14" s="20"/>
      <c r="N14"/>
      <c r="O14"/>
      <c r="P14"/>
    </row>
    <row r="15" spans="1:16" x14ac:dyDescent="0.2">
      <c r="A15" t="s">
        <v>37</v>
      </c>
      <c r="B15" s="2"/>
      <c r="C15" s="17"/>
      <c r="D15" s="17"/>
      <c r="E15" s="17"/>
      <c r="F15" s="17"/>
      <c r="G15" s="9">
        <v>14.4</v>
      </c>
      <c r="H15" s="18"/>
      <c r="I15" s="2"/>
      <c r="J15" s="16"/>
      <c r="K15" s="8"/>
      <c r="L15" s="15"/>
      <c r="M15" s="20"/>
      <c r="N15"/>
      <c r="O15"/>
      <c r="P15"/>
    </row>
    <row r="16" spans="1:16" x14ac:dyDescent="0.2">
      <c r="A16" t="s">
        <v>1</v>
      </c>
      <c r="B16" s="2">
        <v>3.04</v>
      </c>
      <c r="C16" s="17">
        <f t="shared" si="0"/>
        <v>3.5185185185185182E-5</v>
      </c>
      <c r="D16" s="17"/>
      <c r="E16" s="17"/>
      <c r="F16" s="17"/>
      <c r="G16" s="9">
        <v>3.1</v>
      </c>
      <c r="H16" s="18">
        <f t="shared" si="0"/>
        <v>3.5879629629629629E-5</v>
      </c>
      <c r="I16" s="2">
        <v>204.39</v>
      </c>
      <c r="J16" s="16">
        <f t="shared" ref="J16:J21" si="1">I16/86400</f>
        <v>2.3656249999999997E-3</v>
      </c>
      <c r="K16" s="8">
        <f t="shared" ref="K16:K21" si="2">I16/B16</f>
        <v>67.233552631578945</v>
      </c>
      <c r="L16" s="19">
        <f>B16*$K$4</f>
        <v>42.56</v>
      </c>
      <c r="M16" s="20">
        <f>L16/86400</f>
        <v>4.9259259259259265E-4</v>
      </c>
      <c r="N16"/>
      <c r="O16"/>
      <c r="P16"/>
    </row>
    <row r="17" spans="1:16" x14ac:dyDescent="0.2">
      <c r="A17" t="s">
        <v>5</v>
      </c>
      <c r="B17" s="2">
        <v>12.4</v>
      </c>
      <c r="C17" s="17">
        <f t="shared" si="0"/>
        <v>1.4351851851851852E-4</v>
      </c>
      <c r="D17" s="17"/>
      <c r="E17" s="17"/>
      <c r="F17" s="17"/>
      <c r="G17" s="9">
        <v>12.81</v>
      </c>
      <c r="H17" s="18">
        <f t="shared" si="0"/>
        <v>1.4826388888888889E-4</v>
      </c>
      <c r="I17" s="2">
        <v>294.16000000000003</v>
      </c>
      <c r="J17" s="16">
        <f t="shared" si="1"/>
        <v>3.4046296296296298E-3</v>
      </c>
      <c r="K17" s="8">
        <f t="shared" si="2"/>
        <v>23.72258064516129</v>
      </c>
      <c r="L17" s="19">
        <f>B17*$K$4</f>
        <v>173.6</v>
      </c>
      <c r="M17" s="20">
        <f>L17/86400</f>
        <v>2.0092592592592592E-3</v>
      </c>
      <c r="N17"/>
      <c r="O17"/>
      <c r="P17"/>
    </row>
    <row r="18" spans="1:16" x14ac:dyDescent="0.2">
      <c r="A18" t="s">
        <v>1</v>
      </c>
      <c r="B18" s="2">
        <v>3.27</v>
      </c>
      <c r="C18" s="17">
        <f t="shared" si="0"/>
        <v>3.7847222222222224E-5</v>
      </c>
      <c r="D18" s="17"/>
      <c r="E18" s="17"/>
      <c r="F18" s="17"/>
      <c r="G18" s="9">
        <v>3.34</v>
      </c>
      <c r="H18" s="18">
        <f t="shared" si="0"/>
        <v>3.8657407407407404E-5</v>
      </c>
      <c r="I18" s="2">
        <v>229.63</v>
      </c>
      <c r="J18" s="16">
        <f t="shared" si="1"/>
        <v>2.6577546296296297E-3</v>
      </c>
      <c r="K18" s="8">
        <f t="shared" si="2"/>
        <v>70.223241590214059</v>
      </c>
      <c r="L18" s="15"/>
      <c r="M18" s="20"/>
      <c r="N18"/>
      <c r="O18"/>
      <c r="P18"/>
    </row>
    <row r="19" spans="1:16" x14ac:dyDescent="0.2">
      <c r="A19" t="s">
        <v>6</v>
      </c>
      <c r="B19" s="2">
        <v>10.6</v>
      </c>
      <c r="C19" s="17">
        <f t="shared" si="0"/>
        <v>1.2268518518518517E-4</v>
      </c>
      <c r="D19" s="17"/>
      <c r="E19" s="17"/>
      <c r="F19" s="17"/>
      <c r="G19" s="9">
        <v>10.75</v>
      </c>
      <c r="H19" s="18">
        <f t="shared" si="0"/>
        <v>1.244212962962963E-4</v>
      </c>
      <c r="I19" s="2">
        <v>178.36</v>
      </c>
      <c r="J19" s="16">
        <f t="shared" si="1"/>
        <v>2.0643518518518519E-3</v>
      </c>
      <c r="K19" s="8">
        <f t="shared" si="2"/>
        <v>16.826415094339623</v>
      </c>
      <c r="L19" s="19">
        <f>B19*$K$4</f>
        <v>148.4</v>
      </c>
      <c r="M19" s="20">
        <f>L19/86400</f>
        <v>1.7175925925925926E-3</v>
      </c>
      <c r="N19"/>
      <c r="O19"/>
      <c r="P19"/>
    </row>
    <row r="20" spans="1:16" x14ac:dyDescent="0.2">
      <c r="A20" t="s">
        <v>7</v>
      </c>
      <c r="B20" s="2">
        <v>2.93</v>
      </c>
      <c r="C20" s="17">
        <f t="shared" si="0"/>
        <v>3.3912037037037042E-5</v>
      </c>
      <c r="D20" s="17"/>
      <c r="E20" s="17"/>
      <c r="F20" s="17"/>
      <c r="G20" s="9">
        <v>3.04</v>
      </c>
      <c r="H20" s="18">
        <f t="shared" si="0"/>
        <v>3.5185185185185182E-5</v>
      </c>
      <c r="I20" s="2">
        <v>175.22</v>
      </c>
      <c r="J20" s="16">
        <f t="shared" si="1"/>
        <v>2.0280092592592593E-3</v>
      </c>
      <c r="K20" s="8">
        <f t="shared" si="2"/>
        <v>59.802047781569961</v>
      </c>
      <c r="L20" s="19">
        <f>B20*$K$4</f>
        <v>41.02</v>
      </c>
      <c r="M20" s="20">
        <f>L20/86400</f>
        <v>4.7476851851851857E-4</v>
      </c>
      <c r="N20"/>
      <c r="O20"/>
      <c r="P20"/>
    </row>
    <row r="21" spans="1:16" x14ac:dyDescent="0.2">
      <c r="A21" t="s">
        <v>8</v>
      </c>
      <c r="B21" s="2">
        <v>0.88</v>
      </c>
      <c r="C21" s="17">
        <f t="shared" si="0"/>
        <v>1.0185185185185185E-5</v>
      </c>
      <c r="D21" s="17"/>
      <c r="E21" s="17"/>
      <c r="F21" s="17"/>
      <c r="G21" s="9">
        <v>0.91</v>
      </c>
      <c r="H21" s="18">
        <f t="shared" si="0"/>
        <v>1.0532407407407408E-5</v>
      </c>
      <c r="I21" s="2">
        <v>12.07</v>
      </c>
      <c r="J21" s="16">
        <f t="shared" si="1"/>
        <v>1.3969907407407407E-4</v>
      </c>
      <c r="K21" s="8">
        <f t="shared" si="2"/>
        <v>13.715909090909092</v>
      </c>
      <c r="L21" s="19">
        <f>B21*$K$4</f>
        <v>12.32</v>
      </c>
      <c r="M21" s="20">
        <f>L21/86400</f>
        <v>1.425925925925926E-4</v>
      </c>
      <c r="N21"/>
      <c r="O21"/>
      <c r="P21"/>
    </row>
    <row r="22" spans="1:16" x14ac:dyDescent="0.2">
      <c r="A22" t="s">
        <v>10</v>
      </c>
      <c r="C22" s="1"/>
      <c r="D22" s="1"/>
      <c r="E22" s="1"/>
      <c r="F22" s="1"/>
      <c r="G22" s="1"/>
      <c r="M22"/>
      <c r="N22"/>
      <c r="O22"/>
      <c r="P22"/>
    </row>
    <row r="23" spans="1:16" x14ac:dyDescent="0.2">
      <c r="A23" t="s">
        <v>20</v>
      </c>
      <c r="C23" s="1"/>
      <c r="D23" s="1"/>
      <c r="E23" s="1"/>
      <c r="F23" s="1"/>
      <c r="G23" s="1"/>
      <c r="M23"/>
      <c r="N23"/>
      <c r="O23"/>
      <c r="P23"/>
    </row>
    <row r="24" spans="1:16" x14ac:dyDescent="0.2">
      <c r="A24" t="s">
        <v>21</v>
      </c>
      <c r="B24" s="3">
        <v>0</v>
      </c>
      <c r="C24" s="3"/>
      <c r="D24" s="3"/>
      <c r="E24" s="3"/>
      <c r="F24" s="3"/>
      <c r="G24" s="3">
        <v>9</v>
      </c>
      <c r="H24" s="3"/>
      <c r="I24" s="3">
        <v>0</v>
      </c>
      <c r="J24" s="3"/>
      <c r="M24"/>
      <c r="N24"/>
      <c r="O24"/>
      <c r="P24"/>
    </row>
    <row r="25" spans="1:16" x14ac:dyDescent="0.2">
      <c r="A25" t="s">
        <v>22</v>
      </c>
      <c r="B25" s="3">
        <v>0</v>
      </c>
      <c r="C25" s="3"/>
      <c r="D25" s="3"/>
      <c r="E25" s="3"/>
      <c r="F25" s="3"/>
      <c r="G25" s="3">
        <v>6</v>
      </c>
      <c r="H25" s="3"/>
      <c r="I25" s="3">
        <v>0</v>
      </c>
      <c r="J25" s="3"/>
      <c r="M25"/>
      <c r="N25"/>
      <c r="O25"/>
      <c r="P25"/>
    </row>
    <row r="26" spans="1:16" x14ac:dyDescent="0.2">
      <c r="A26" t="s">
        <v>23</v>
      </c>
      <c r="B26" s="3">
        <v>0</v>
      </c>
      <c r="C26" s="3"/>
      <c r="D26" s="3"/>
      <c r="E26" s="3"/>
      <c r="F26" s="3"/>
      <c r="G26" s="3">
        <v>15</v>
      </c>
      <c r="H26" s="3"/>
      <c r="I26" s="3">
        <v>0</v>
      </c>
      <c r="J26" s="3"/>
      <c r="M26"/>
      <c r="N26"/>
      <c r="O26"/>
      <c r="P26"/>
    </row>
    <row r="27" spans="1:16" x14ac:dyDescent="0.2">
      <c r="A27" t="s">
        <v>24</v>
      </c>
      <c r="B27" s="2">
        <f>B23*3600+B24*60+B25+B26*0.01</f>
        <v>0</v>
      </c>
      <c r="C27" s="2"/>
      <c r="D27" s="2"/>
      <c r="E27" s="2"/>
      <c r="F27" s="2"/>
      <c r="G27" s="2">
        <f>G23*3600+G24*60+G25+G26*0.01</f>
        <v>546.15</v>
      </c>
      <c r="H27" s="2"/>
      <c r="I27" s="2">
        <f>I23*3600+I24*60+I25+I26*0.01</f>
        <v>0</v>
      </c>
      <c r="J27" s="2"/>
      <c r="M27"/>
      <c r="N27"/>
      <c r="O27"/>
      <c r="P27"/>
    </row>
    <row r="28" spans="1:16" x14ac:dyDescent="0.2">
      <c r="C28" s="1"/>
      <c r="D28" s="1"/>
      <c r="E28" s="1"/>
      <c r="F28" s="1"/>
      <c r="G28" s="1"/>
      <c r="M28"/>
      <c r="N28"/>
      <c r="O28"/>
      <c r="P28"/>
    </row>
    <row r="29" spans="1:16" x14ac:dyDescent="0.2">
      <c r="A29" t="s">
        <v>13</v>
      </c>
      <c r="C29" s="1"/>
      <c r="D29" s="1"/>
      <c r="E29" s="1"/>
      <c r="F29" s="1"/>
      <c r="G29" s="1"/>
      <c r="M29"/>
      <c r="N29"/>
      <c r="O29"/>
      <c r="P29"/>
    </row>
    <row r="30" spans="1:16" x14ac:dyDescent="0.2">
      <c r="A30" t="s">
        <v>14</v>
      </c>
      <c r="B30" s="1">
        <v>11</v>
      </c>
      <c r="C30" s="1"/>
      <c r="D30" s="1"/>
      <c r="E30" s="1"/>
      <c r="F30" s="1"/>
      <c r="G30" s="1">
        <v>12</v>
      </c>
      <c r="I30" s="1">
        <v>0</v>
      </c>
      <c r="M30"/>
      <c r="N30"/>
      <c r="O30"/>
      <c r="P30"/>
    </row>
    <row r="31" spans="1:16" x14ac:dyDescent="0.2">
      <c r="A31" t="s">
        <v>15</v>
      </c>
      <c r="B31" s="1">
        <v>39</v>
      </c>
      <c r="C31" s="1"/>
      <c r="D31" s="1"/>
      <c r="E31" s="1"/>
      <c r="F31" s="1"/>
      <c r="G31" s="1">
        <v>46</v>
      </c>
      <c r="I31" s="1">
        <v>0</v>
      </c>
      <c r="M31"/>
      <c r="N31"/>
      <c r="O31"/>
      <c r="P31"/>
    </row>
    <row r="32" spans="1:16" x14ac:dyDescent="0.2">
      <c r="A32" t="s">
        <v>16</v>
      </c>
      <c r="B32" s="1">
        <v>79</v>
      </c>
      <c r="C32" s="1"/>
      <c r="D32" s="1"/>
      <c r="E32" s="1"/>
      <c r="F32" s="1"/>
      <c r="G32" s="1">
        <v>21</v>
      </c>
      <c r="I32" s="1">
        <v>0</v>
      </c>
      <c r="M32"/>
      <c r="N32"/>
      <c r="O32"/>
      <c r="P32"/>
    </row>
    <row r="33" spans="1:21" x14ac:dyDescent="0.2">
      <c r="A33" t="s">
        <v>17</v>
      </c>
      <c r="B33" s="2">
        <f>B29*3600+B30*60+B31+B32*0.01</f>
        <v>699.79</v>
      </c>
      <c r="C33" s="2"/>
      <c r="D33" s="2"/>
      <c r="E33" s="2"/>
      <c r="F33" s="2"/>
      <c r="G33" s="2">
        <f>G29*3600+G30*60+G31+G32*0.01</f>
        <v>766.21</v>
      </c>
      <c r="H33" s="18">
        <f t="shared" ref="H33" si="3">G33/86400</f>
        <v>8.8681712962962959E-3</v>
      </c>
      <c r="I33" s="2">
        <f>I29*3600+I30*60+I31+I32*0.01</f>
        <v>0</v>
      </c>
      <c r="M33"/>
      <c r="N33"/>
      <c r="O33"/>
      <c r="P33"/>
    </row>
    <row r="34" spans="1:21" x14ac:dyDescent="0.2">
      <c r="B34" s="3"/>
    </row>
    <row r="35" spans="1:21" x14ac:dyDescent="0.2">
      <c r="B35" s="3"/>
    </row>
    <row r="36" spans="1:21" x14ac:dyDescent="0.2">
      <c r="B36" s="3"/>
    </row>
    <row r="37" spans="1:21" x14ac:dyDescent="0.2">
      <c r="A37" t="s">
        <v>33</v>
      </c>
      <c r="B37" s="3">
        <v>0</v>
      </c>
    </row>
    <row r="38" spans="1:21" x14ac:dyDescent="0.2">
      <c r="A38" t="s">
        <v>29</v>
      </c>
      <c r="B38" s="3">
        <v>4</v>
      </c>
      <c r="C38">
        <v>10</v>
      </c>
      <c r="L38" s="1">
        <v>4</v>
      </c>
    </row>
    <row r="39" spans="1:21" x14ac:dyDescent="0.2">
      <c r="A39" t="s">
        <v>30</v>
      </c>
      <c r="B39" s="3">
        <v>25</v>
      </c>
      <c r="L39" s="1">
        <v>21</v>
      </c>
    </row>
    <row r="40" spans="1:21" x14ac:dyDescent="0.2">
      <c r="A40" t="s">
        <v>31</v>
      </c>
      <c r="B40" s="3">
        <v>80</v>
      </c>
      <c r="L40" s="1">
        <v>54</v>
      </c>
    </row>
    <row r="41" spans="1:21" x14ac:dyDescent="0.2">
      <c r="A41" t="s">
        <v>32</v>
      </c>
      <c r="B41" s="2">
        <f>B37*3600+B38*60+B39+B40*0.01</f>
        <v>265.8</v>
      </c>
      <c r="L41" s="46">
        <f>N37*3600+L38*60+L39+L40*0.01</f>
        <v>261.54000000000002</v>
      </c>
    </row>
    <row r="44" spans="1:21" ht="17" thickBot="1" x14ac:dyDescent="0.25"/>
    <row r="45" spans="1:21" x14ac:dyDescent="0.2">
      <c r="B45" s="60" t="s">
        <v>45</v>
      </c>
      <c r="C45" s="62"/>
      <c r="D45" s="60" t="s">
        <v>40</v>
      </c>
      <c r="E45" s="61"/>
      <c r="F45" s="62"/>
      <c r="G45" s="60" t="s">
        <v>40</v>
      </c>
      <c r="H45" s="61"/>
      <c r="I45" s="62"/>
      <c r="J45" s="60" t="s">
        <v>40</v>
      </c>
      <c r="K45" s="61"/>
      <c r="L45" s="62"/>
      <c r="M45" s="60" t="s">
        <v>40</v>
      </c>
      <c r="N45" s="61"/>
      <c r="O45" s="61"/>
      <c r="P45" s="1" t="s">
        <v>41</v>
      </c>
      <c r="Q45" s="1" t="s">
        <v>42</v>
      </c>
      <c r="S45" s="1" t="s">
        <v>44</v>
      </c>
      <c r="T45" s="1"/>
      <c r="U45" s="1"/>
    </row>
    <row r="46" spans="1:21" ht="22" x14ac:dyDescent="0.3">
      <c r="B46" s="28"/>
      <c r="C46" s="29"/>
      <c r="D46" s="24" t="s">
        <v>46</v>
      </c>
      <c r="E46" s="1"/>
      <c r="F46" s="1"/>
      <c r="G46" s="24" t="s">
        <v>49</v>
      </c>
      <c r="J46" s="24" t="s">
        <v>48</v>
      </c>
      <c r="M46" s="58" t="s">
        <v>46</v>
      </c>
      <c r="Q46" s="1"/>
      <c r="S46" s="1"/>
      <c r="T46" s="1"/>
      <c r="U46" s="1"/>
    </row>
    <row r="47" spans="1:21" ht="19" x14ac:dyDescent="0.25">
      <c r="A47" t="s">
        <v>19</v>
      </c>
      <c r="B47" s="22"/>
      <c r="C47" s="23"/>
      <c r="D47" s="34"/>
      <c r="E47" s="1"/>
      <c r="F47" s="1" t="s">
        <v>42</v>
      </c>
      <c r="G47" s="34"/>
      <c r="I47" s="1" t="s">
        <v>42</v>
      </c>
      <c r="J47" s="34"/>
      <c r="L47" s="1" t="s">
        <v>42</v>
      </c>
      <c r="M47" s="58" t="s">
        <v>49</v>
      </c>
      <c r="O47" s="1" t="s">
        <v>39</v>
      </c>
      <c r="P47" s="1" t="s">
        <v>43</v>
      </c>
      <c r="Q47" s="14" t="s">
        <v>35</v>
      </c>
      <c r="R47" s="15" t="s">
        <v>36</v>
      </c>
      <c r="S47" s="14" t="s">
        <v>35</v>
      </c>
      <c r="T47" s="15" t="s">
        <v>36</v>
      </c>
      <c r="U47" s="1"/>
    </row>
    <row r="48" spans="1:21" ht="22" x14ac:dyDescent="0.3">
      <c r="A48" t="s">
        <v>9</v>
      </c>
      <c r="B48" s="24">
        <v>20</v>
      </c>
      <c r="C48" s="25"/>
      <c r="E48" s="1"/>
      <c r="F48" s="38" t="e">
        <f>D46/G46</f>
        <v>#VALUE!</v>
      </c>
      <c r="I48" s="38" t="e">
        <f>G46/J46</f>
        <v>#VALUE!</v>
      </c>
      <c r="L48" s="38" t="e">
        <f>J46/M47</f>
        <v>#VALUE!</v>
      </c>
      <c r="M48" s="59" t="s">
        <v>48</v>
      </c>
      <c r="N48" s="11"/>
      <c r="O48" s="12" t="e">
        <f>M47/B48</f>
        <v>#VALUE!</v>
      </c>
      <c r="P48" s="12" t="e">
        <f>O48/$O$48</f>
        <v>#VALUE!</v>
      </c>
      <c r="Q48" s="40" t="e">
        <f>P48*$L$48</f>
        <v>#VALUE!</v>
      </c>
      <c r="R48" s="41"/>
      <c r="S48" s="1"/>
      <c r="T48" s="1"/>
      <c r="U48" s="1"/>
    </row>
    <row r="49" spans="1:21" x14ac:dyDescent="0.2">
      <c r="A49" t="s">
        <v>50</v>
      </c>
      <c r="B49" s="22">
        <v>49204</v>
      </c>
      <c r="C49" s="23"/>
      <c r="D49" s="43">
        <v>5990</v>
      </c>
      <c r="E49" s="1"/>
      <c r="F49" s="29"/>
      <c r="G49" s="43">
        <v>6125</v>
      </c>
      <c r="I49" s="29"/>
      <c r="J49" s="43">
        <v>5111</v>
      </c>
      <c r="L49" s="29"/>
      <c r="N49" s="35"/>
      <c r="O49" s="12" t="e">
        <f>M48/B49</f>
        <v>#VALUE!</v>
      </c>
      <c r="P49" s="12" t="e">
        <f>O49/$O$48</f>
        <v>#VALUE!</v>
      </c>
      <c r="Q49" s="40" t="e">
        <f>P49*$L$48*M48</f>
        <v>#VALUE!</v>
      </c>
      <c r="R49" s="41"/>
      <c r="S49" s="1"/>
      <c r="T49" s="1"/>
      <c r="U49" s="1"/>
    </row>
    <row r="50" spans="1:21" x14ac:dyDescent="0.2">
      <c r="A50" t="s">
        <v>51</v>
      </c>
      <c r="B50" s="22">
        <v>16303</v>
      </c>
      <c r="C50" s="23"/>
      <c r="D50" s="43">
        <v>5483</v>
      </c>
      <c r="E50" s="1"/>
      <c r="F50" s="29"/>
      <c r="G50" s="43">
        <v>5511</v>
      </c>
      <c r="I50" s="29"/>
      <c r="J50" s="43">
        <v>4614</v>
      </c>
      <c r="L50" s="29"/>
      <c r="M50" s="22">
        <v>16474</v>
      </c>
      <c r="N50" s="35"/>
      <c r="O50" s="12">
        <f>M50/B50</f>
        <v>1.0104888670796786</v>
      </c>
      <c r="P50" s="12" t="e">
        <f>O50/$O$48</f>
        <v>#VALUE!</v>
      </c>
      <c r="Q50" s="40" t="e">
        <f>P50*$L$48*M50</f>
        <v>#VALUE!</v>
      </c>
      <c r="R50" s="42"/>
      <c r="S50" s="1"/>
      <c r="T50" s="1"/>
      <c r="U50" s="1"/>
    </row>
    <row r="51" spans="1:21" x14ac:dyDescent="0.2">
      <c r="A51" t="s">
        <v>10</v>
      </c>
      <c r="B51" s="22">
        <v>55</v>
      </c>
      <c r="C51" s="23"/>
      <c r="D51" s="43">
        <v>0</v>
      </c>
      <c r="E51" s="1"/>
      <c r="F51" s="29"/>
      <c r="G51" s="43">
        <v>40</v>
      </c>
      <c r="I51" s="29"/>
      <c r="J51" s="43">
        <v>40</v>
      </c>
      <c r="L51" s="29"/>
      <c r="M51" s="22">
        <v>40</v>
      </c>
      <c r="N51" s="35"/>
      <c r="Q51" s="15"/>
      <c r="R51" s="41"/>
      <c r="S51" s="1"/>
      <c r="T51" s="1"/>
      <c r="U51" s="1"/>
    </row>
    <row r="52" spans="1:21" x14ac:dyDescent="0.2">
      <c r="A52" t="s">
        <v>11</v>
      </c>
      <c r="B52" s="26">
        <v>39813</v>
      </c>
      <c r="C52" s="27"/>
      <c r="D52" s="26">
        <v>37621</v>
      </c>
      <c r="E52" s="1"/>
      <c r="F52" s="29"/>
      <c r="G52" s="26">
        <v>37621</v>
      </c>
      <c r="I52" s="29"/>
      <c r="J52" s="26">
        <v>37621</v>
      </c>
      <c r="L52" s="29"/>
      <c r="M52" s="26">
        <v>37621</v>
      </c>
      <c r="N52" s="5"/>
      <c r="Q52" s="15"/>
      <c r="R52" s="41"/>
      <c r="S52" s="1"/>
      <c r="T52" s="1"/>
      <c r="U52" s="1"/>
    </row>
    <row r="53" spans="1:21" x14ac:dyDescent="0.2">
      <c r="B53" s="28" t="s">
        <v>27</v>
      </c>
      <c r="C53" s="29" t="s">
        <v>36</v>
      </c>
      <c r="D53" s="28" t="s">
        <v>27</v>
      </c>
      <c r="E53" s="1" t="s">
        <v>36</v>
      </c>
      <c r="F53" s="29" t="s">
        <v>34</v>
      </c>
      <c r="G53" s="28" t="s">
        <v>27</v>
      </c>
      <c r="H53" s="1" t="s">
        <v>36</v>
      </c>
      <c r="I53" s="29" t="s">
        <v>34</v>
      </c>
      <c r="J53" s="28" t="s">
        <v>27</v>
      </c>
      <c r="K53" s="1" t="s">
        <v>36</v>
      </c>
      <c r="L53" s="29" t="s">
        <v>34</v>
      </c>
      <c r="M53" s="28" t="s">
        <v>27</v>
      </c>
      <c r="N53" s="1" t="s">
        <v>36</v>
      </c>
      <c r="O53" s="1" t="s">
        <v>34</v>
      </c>
      <c r="Q53" s="15"/>
      <c r="R53" s="41"/>
      <c r="S53" s="1"/>
      <c r="T53" s="1"/>
      <c r="U53" s="1"/>
    </row>
    <row r="54" spans="1:21" x14ac:dyDescent="0.2">
      <c r="A54" t="s">
        <v>0</v>
      </c>
      <c r="B54" s="30">
        <v>195.36</v>
      </c>
      <c r="C54" s="31">
        <f t="shared" ref="C54:C65" si="4">B54/86400</f>
        <v>2.2611111111111113E-3</v>
      </c>
      <c r="D54" s="34">
        <v>59.62</v>
      </c>
      <c r="E54" s="31">
        <f t="shared" ref="E54:E65" si="5">D54/86400</f>
        <v>6.9004629629629624E-4</v>
      </c>
      <c r="F54" s="12">
        <f>D54/G54</f>
        <v>0.97866053841103084</v>
      </c>
      <c r="G54" s="34">
        <v>60.92</v>
      </c>
      <c r="H54" s="31">
        <f t="shared" ref="H54:H65" si="6">G54/86400</f>
        <v>7.0509259259259266E-4</v>
      </c>
      <c r="I54" s="12">
        <f>G54/J54</f>
        <v>1.1331845238095239</v>
      </c>
      <c r="J54" s="57">
        <v>53.76</v>
      </c>
      <c r="K54" s="31">
        <f t="shared" ref="K54:K65" si="7">J54/86400</f>
        <v>6.2222222222222225E-4</v>
      </c>
      <c r="L54" s="12">
        <f>J54/M54</f>
        <v>0.31884229879603815</v>
      </c>
      <c r="M54" s="32">
        <v>168.61</v>
      </c>
      <c r="N54" s="39">
        <f t="shared" ref="N54:N59" si="8">M54/86400</f>
        <v>1.9515046296296299E-3</v>
      </c>
      <c r="O54" s="12">
        <f t="shared" ref="O54:O65" si="9">M54/B54</f>
        <v>0.86307330057330056</v>
      </c>
      <c r="P54" s="12" t="e">
        <f>O54/$O$48</f>
        <v>#VALUE!</v>
      </c>
      <c r="Q54" s="19" t="e">
        <f>P54*$L$48*M54</f>
        <v>#VALUE!</v>
      </c>
      <c r="R54" s="20" t="e">
        <f>Q54/86400</f>
        <v>#VALUE!</v>
      </c>
      <c r="S54" s="1"/>
      <c r="T54" s="1"/>
      <c r="U54" s="1"/>
    </row>
    <row r="55" spans="1:21" x14ac:dyDescent="0.2">
      <c r="A55" t="s">
        <v>1</v>
      </c>
      <c r="B55" s="30">
        <v>50.6</v>
      </c>
      <c r="C55" s="31">
        <f t="shared" si="4"/>
        <v>5.8564814814814818E-4</v>
      </c>
      <c r="D55" s="34">
        <v>11.35</v>
      </c>
      <c r="E55" s="31">
        <f t="shared" si="5"/>
        <v>1.3136574074074073E-4</v>
      </c>
      <c r="F55" s="12">
        <f t="shared" ref="F55:F58" si="10">D55/G55</f>
        <v>0.96349745331069614</v>
      </c>
      <c r="G55" s="34">
        <v>11.78</v>
      </c>
      <c r="H55" s="31">
        <f t="shared" si="6"/>
        <v>1.3634259259259258E-4</v>
      </c>
      <c r="I55" s="12">
        <f t="shared" ref="I55:I58" si="11">G55/J55</f>
        <v>1.2348008385744236</v>
      </c>
      <c r="J55" s="57">
        <v>9.5399999999999991</v>
      </c>
      <c r="K55" s="31">
        <f t="shared" si="7"/>
        <v>1.1041666666666666E-4</v>
      </c>
      <c r="L55" s="12">
        <f t="shared" ref="L55:L65" si="12">J55/M55</f>
        <v>0.211483041454223</v>
      </c>
      <c r="M55" s="32">
        <v>45.11</v>
      </c>
      <c r="N55" s="39">
        <f t="shared" si="8"/>
        <v>5.2210648148148147E-4</v>
      </c>
      <c r="O55" s="12">
        <f t="shared" si="9"/>
        <v>0.89150197628458494</v>
      </c>
      <c r="P55" s="12" t="e">
        <f t="shared" ref="P55:P65" si="13">O55/$O$48</f>
        <v>#VALUE!</v>
      </c>
      <c r="Q55" s="19" t="e">
        <f t="shared" ref="Q55:Q65" si="14">P55*$L$48*M55</f>
        <v>#VALUE!</v>
      </c>
      <c r="R55" s="20" t="e">
        <f t="shared" ref="R55:R56" si="15">Q55/86400</f>
        <v>#VALUE!</v>
      </c>
      <c r="S55" s="1"/>
      <c r="T55" s="1"/>
      <c r="U55" s="1"/>
    </row>
    <row r="56" spans="1:21" x14ac:dyDescent="0.2">
      <c r="A56" t="s">
        <v>28</v>
      </c>
      <c r="B56" s="30">
        <v>8.44</v>
      </c>
      <c r="C56" s="31">
        <f t="shared" si="4"/>
        <v>9.7685185185185177E-5</v>
      </c>
      <c r="D56" s="34">
        <v>2.31</v>
      </c>
      <c r="E56" s="31">
        <f t="shared" si="5"/>
        <v>2.6736111111111112E-5</v>
      </c>
      <c r="F56" s="12">
        <f t="shared" si="10"/>
        <v>0.88505747126436785</v>
      </c>
      <c r="G56" s="34">
        <v>2.61</v>
      </c>
      <c r="H56" s="31">
        <f t="shared" si="6"/>
        <v>3.0208333333333334E-5</v>
      </c>
      <c r="I56" s="12">
        <f t="shared" si="11"/>
        <v>1.1106382978723404</v>
      </c>
      <c r="J56" s="57">
        <v>2.35</v>
      </c>
      <c r="K56" s="31">
        <f t="shared" si="7"/>
        <v>2.7199074074074076E-5</v>
      </c>
      <c r="L56" s="12">
        <f t="shared" si="12"/>
        <v>0.30961791831357049</v>
      </c>
      <c r="M56" s="32">
        <v>7.59</v>
      </c>
      <c r="N56" s="39">
        <f t="shared" si="8"/>
        <v>8.7847222222222219E-5</v>
      </c>
      <c r="O56" s="12">
        <f t="shared" si="9"/>
        <v>0.89928909952606639</v>
      </c>
      <c r="P56" s="12" t="e">
        <f t="shared" si="13"/>
        <v>#VALUE!</v>
      </c>
      <c r="Q56" s="19" t="e">
        <f t="shared" si="14"/>
        <v>#VALUE!</v>
      </c>
      <c r="R56" s="20" t="e">
        <f t="shared" si="15"/>
        <v>#VALUE!</v>
      </c>
      <c r="S56" s="1"/>
      <c r="T56" s="1"/>
      <c r="U56" s="1"/>
    </row>
    <row r="57" spans="1:21" x14ac:dyDescent="0.2">
      <c r="A57" t="s">
        <v>2</v>
      </c>
      <c r="B57" s="30">
        <v>308.31</v>
      </c>
      <c r="C57" s="31">
        <f t="shared" si="4"/>
        <v>3.568402777777778E-3</v>
      </c>
      <c r="D57" s="34">
        <v>93.19</v>
      </c>
      <c r="E57" s="31">
        <f t="shared" si="5"/>
        <v>1.0785879629629628E-3</v>
      </c>
      <c r="F57" s="12">
        <f t="shared" si="10"/>
        <v>0.99583244282966443</v>
      </c>
      <c r="G57" s="34">
        <v>93.58</v>
      </c>
      <c r="H57" s="31">
        <f t="shared" si="6"/>
        <v>1.0831018518518518E-3</v>
      </c>
      <c r="I57" s="12">
        <f t="shared" si="11"/>
        <v>1.1805222656742778</v>
      </c>
      <c r="J57" s="57">
        <v>79.27</v>
      </c>
      <c r="K57" s="31">
        <f t="shared" si="7"/>
        <v>9.1747685185185183E-4</v>
      </c>
      <c r="L57" s="12">
        <f t="shared" si="12"/>
        <v>0.30308939359180237</v>
      </c>
      <c r="M57" s="32">
        <v>261.54000000000002</v>
      </c>
      <c r="N57" s="39">
        <f t="shared" si="8"/>
        <v>3.0270833333333334E-3</v>
      </c>
      <c r="O57" s="12">
        <f t="shared" si="9"/>
        <v>0.84830203366741275</v>
      </c>
      <c r="P57" s="12" t="e">
        <f t="shared" si="13"/>
        <v>#VALUE!</v>
      </c>
      <c r="Q57" s="19" t="e">
        <f t="shared" si="14"/>
        <v>#VALUE!</v>
      </c>
      <c r="R57" s="20" t="e">
        <f>Q57/86400</f>
        <v>#VALUE!</v>
      </c>
      <c r="S57" s="1"/>
      <c r="T57" s="1"/>
      <c r="U57" s="1"/>
    </row>
    <row r="58" spans="1:21" x14ac:dyDescent="0.2">
      <c r="A58" t="s">
        <v>4</v>
      </c>
      <c r="B58" s="30">
        <v>0.02</v>
      </c>
      <c r="C58" s="31">
        <f t="shared" si="4"/>
        <v>2.3148148148148148E-7</v>
      </c>
      <c r="D58" s="34">
        <v>0.01</v>
      </c>
      <c r="E58" s="31">
        <f t="shared" si="5"/>
        <v>1.1574074074074074E-7</v>
      </c>
      <c r="F58" s="12">
        <f t="shared" si="10"/>
        <v>1</v>
      </c>
      <c r="G58" s="34">
        <v>0.01</v>
      </c>
      <c r="H58" s="31">
        <f t="shared" si="6"/>
        <v>1.1574074074074074E-7</v>
      </c>
      <c r="I58" s="12">
        <f t="shared" si="11"/>
        <v>1</v>
      </c>
      <c r="J58" s="57">
        <v>0.01</v>
      </c>
      <c r="K58" s="31">
        <f t="shared" si="7"/>
        <v>1.1574074074074074E-7</v>
      </c>
      <c r="L58" s="12">
        <f t="shared" si="12"/>
        <v>1</v>
      </c>
      <c r="M58" s="32">
        <v>0.01</v>
      </c>
      <c r="N58" s="39">
        <f t="shared" si="8"/>
        <v>1.1574074074074074E-7</v>
      </c>
      <c r="O58" s="12">
        <f t="shared" si="9"/>
        <v>0.5</v>
      </c>
      <c r="P58" s="12" t="e">
        <f t="shared" si="13"/>
        <v>#VALUE!</v>
      </c>
      <c r="Q58" s="19" t="e">
        <f t="shared" si="14"/>
        <v>#VALUE!</v>
      </c>
      <c r="R58" s="20" t="e">
        <f>Q58/86400</f>
        <v>#VALUE!</v>
      </c>
      <c r="S58" s="1"/>
      <c r="T58" s="1"/>
      <c r="U58" s="1"/>
    </row>
    <row r="59" spans="1:21" x14ac:dyDescent="0.2">
      <c r="A59" t="s">
        <v>37</v>
      </c>
      <c r="B59" s="30">
        <v>57.38</v>
      </c>
      <c r="C59" s="31">
        <f t="shared" si="4"/>
        <v>6.6412037037037036E-4</v>
      </c>
      <c r="D59" s="34">
        <v>20.100000000000001</v>
      </c>
      <c r="E59" s="31">
        <f t="shared" si="5"/>
        <v>2.3263888888888892E-4</v>
      </c>
      <c r="F59" s="12"/>
      <c r="G59" s="34">
        <v>19.86</v>
      </c>
      <c r="H59" s="31">
        <f t="shared" si="6"/>
        <v>2.298611111111111E-4</v>
      </c>
      <c r="I59" s="12"/>
      <c r="J59" s="57">
        <v>16.7</v>
      </c>
      <c r="K59" s="31">
        <f t="shared" si="7"/>
        <v>1.9328703703703703E-4</v>
      </c>
      <c r="L59" s="12">
        <f t="shared" si="12"/>
        <v>0.31539187913125588</v>
      </c>
      <c r="M59" s="32">
        <v>52.95</v>
      </c>
      <c r="N59" s="39">
        <f t="shared" si="8"/>
        <v>6.1284722222222231E-4</v>
      </c>
      <c r="O59" s="12">
        <f t="shared" si="9"/>
        <v>0.92279539909376085</v>
      </c>
      <c r="P59" s="12" t="e">
        <f t="shared" si="13"/>
        <v>#VALUE!</v>
      </c>
      <c r="Q59" s="19" t="e">
        <f t="shared" si="14"/>
        <v>#VALUE!</v>
      </c>
      <c r="R59" s="20"/>
      <c r="S59" s="1"/>
      <c r="T59" s="1"/>
      <c r="U59" s="1"/>
    </row>
    <row r="60" spans="1:21" x14ac:dyDescent="0.2">
      <c r="A60" t="s">
        <v>1</v>
      </c>
      <c r="B60" s="30">
        <v>23.59</v>
      </c>
      <c r="C60" s="31">
        <f t="shared" si="4"/>
        <v>2.7303240740740738E-4</v>
      </c>
      <c r="D60" s="34">
        <v>5.24</v>
      </c>
      <c r="E60" s="31">
        <f t="shared" si="5"/>
        <v>6.0648148148148154E-5</v>
      </c>
      <c r="F60" s="12">
        <f t="shared" ref="F60:F65" si="16">D60/G60</f>
        <v>0.99809523809523815</v>
      </c>
      <c r="G60" s="34">
        <v>5.25</v>
      </c>
      <c r="H60" s="31">
        <f t="shared" si="6"/>
        <v>6.0763888888888887E-5</v>
      </c>
      <c r="I60" s="12">
        <f t="shared" ref="I60:I65" si="17">G60/J60</f>
        <v>1.2681159420289856</v>
      </c>
      <c r="J60" s="57">
        <v>4.1399999999999997</v>
      </c>
      <c r="K60" s="31">
        <f t="shared" si="7"/>
        <v>4.7916666666666661E-5</v>
      </c>
      <c r="L60" s="12">
        <f t="shared" si="12"/>
        <v>0.17394957983193277</v>
      </c>
      <c r="M60" s="32">
        <v>23.8</v>
      </c>
      <c r="N60" s="39">
        <f t="shared" ref="N60:N65" si="18">M60/86400</f>
        <v>2.7546296296296298E-4</v>
      </c>
      <c r="O60" s="12">
        <f t="shared" si="9"/>
        <v>1.0089020771513353</v>
      </c>
      <c r="P60" s="12" t="e">
        <f t="shared" si="13"/>
        <v>#VALUE!</v>
      </c>
      <c r="Q60" s="19" t="e">
        <f t="shared" si="14"/>
        <v>#VALUE!</v>
      </c>
      <c r="R60" s="20" t="e">
        <f t="shared" ref="R60:R65" si="19">Q60/86400</f>
        <v>#VALUE!</v>
      </c>
      <c r="S60" s="1"/>
      <c r="T60" s="1"/>
      <c r="U60" s="1"/>
    </row>
    <row r="61" spans="1:21" x14ac:dyDescent="0.2">
      <c r="A61" t="s">
        <v>5</v>
      </c>
      <c r="B61" s="30">
        <v>70.260000000000005</v>
      </c>
      <c r="C61" s="31">
        <f t="shared" si="4"/>
        <v>8.1319444444444451E-4</v>
      </c>
      <c r="D61" s="34">
        <v>20.64</v>
      </c>
      <c r="E61" s="31">
        <f t="shared" si="5"/>
        <v>2.3888888888888891E-4</v>
      </c>
      <c r="F61" s="12">
        <f t="shared" si="16"/>
        <v>1.018756169792695</v>
      </c>
      <c r="G61" s="34">
        <v>20.260000000000002</v>
      </c>
      <c r="H61" s="31">
        <f t="shared" si="6"/>
        <v>2.3449074074074076E-4</v>
      </c>
      <c r="I61" s="12">
        <f t="shared" si="17"/>
        <v>1.1959858323494688</v>
      </c>
      <c r="J61" s="57">
        <v>16.940000000000001</v>
      </c>
      <c r="K61" s="31">
        <f t="shared" si="7"/>
        <v>1.9606481481481482E-4</v>
      </c>
      <c r="L61" s="12">
        <f t="shared" si="12"/>
        <v>0.28484950395157227</v>
      </c>
      <c r="M61" s="32">
        <v>59.47</v>
      </c>
      <c r="N61" s="39">
        <f t="shared" si="18"/>
        <v>6.8831018518518514E-4</v>
      </c>
      <c r="O61" s="12">
        <f t="shared" si="9"/>
        <v>0.84642755479647014</v>
      </c>
      <c r="P61" s="12" t="e">
        <f t="shared" si="13"/>
        <v>#VALUE!</v>
      </c>
      <c r="Q61" s="19" t="e">
        <f t="shared" si="14"/>
        <v>#VALUE!</v>
      </c>
      <c r="R61" s="20" t="e">
        <f t="shared" si="19"/>
        <v>#VALUE!</v>
      </c>
      <c r="S61" s="1"/>
      <c r="T61" s="1"/>
      <c r="U61" s="1"/>
    </row>
    <row r="62" spans="1:21" x14ac:dyDescent="0.2">
      <c r="A62" t="s">
        <v>1</v>
      </c>
      <c r="B62" s="30">
        <v>27.47</v>
      </c>
      <c r="C62" s="31">
        <f t="shared" si="4"/>
        <v>3.1793981481481479E-4</v>
      </c>
      <c r="D62" s="34">
        <v>5.73</v>
      </c>
      <c r="E62" s="31">
        <f t="shared" si="5"/>
        <v>6.631944444444445E-5</v>
      </c>
      <c r="F62" s="12">
        <f t="shared" si="16"/>
        <v>0.98453608247422686</v>
      </c>
      <c r="G62" s="34">
        <v>5.82</v>
      </c>
      <c r="H62" s="31">
        <f t="shared" si="6"/>
        <v>6.736111111111111E-5</v>
      </c>
      <c r="I62" s="12">
        <f t="shared" si="17"/>
        <v>1.2570194384449245</v>
      </c>
      <c r="J62" s="57">
        <v>4.63</v>
      </c>
      <c r="K62" s="31">
        <f t="shared" si="7"/>
        <v>5.3587962962962964E-5</v>
      </c>
      <c r="L62" s="12">
        <f t="shared" si="12"/>
        <v>0.19037828947368421</v>
      </c>
      <c r="M62" s="32">
        <v>24.32</v>
      </c>
      <c r="N62" s="39">
        <f t="shared" si="18"/>
        <v>2.8148148148148146E-4</v>
      </c>
      <c r="O62" s="12">
        <f t="shared" si="9"/>
        <v>0.88532945030942856</v>
      </c>
      <c r="P62" s="12" t="e">
        <f t="shared" si="13"/>
        <v>#VALUE!</v>
      </c>
      <c r="Q62" s="19" t="e">
        <f t="shared" si="14"/>
        <v>#VALUE!</v>
      </c>
      <c r="R62" s="20" t="e">
        <f t="shared" si="19"/>
        <v>#VALUE!</v>
      </c>
      <c r="S62" s="1"/>
      <c r="T62" s="1"/>
      <c r="U62" s="1"/>
    </row>
    <row r="63" spans="1:21" x14ac:dyDescent="0.2">
      <c r="A63" t="s">
        <v>6</v>
      </c>
      <c r="B63" s="30">
        <v>47.52</v>
      </c>
      <c r="C63" s="31">
        <f t="shared" si="4"/>
        <v>5.5000000000000003E-4</v>
      </c>
      <c r="D63" s="34">
        <v>14.76</v>
      </c>
      <c r="E63" s="31">
        <f t="shared" si="5"/>
        <v>1.7083333333333333E-4</v>
      </c>
      <c r="F63" s="12">
        <f t="shared" si="16"/>
        <v>0.9813829787234043</v>
      </c>
      <c r="G63" s="34">
        <v>15.04</v>
      </c>
      <c r="H63" s="31">
        <f t="shared" si="6"/>
        <v>1.7407407407407405E-4</v>
      </c>
      <c r="I63" s="12">
        <f t="shared" si="17"/>
        <v>1.2502078137988362</v>
      </c>
      <c r="J63" s="57">
        <v>12.03</v>
      </c>
      <c r="K63" s="31">
        <f t="shared" si="7"/>
        <v>1.3923611111111111E-4</v>
      </c>
      <c r="L63" s="12">
        <f t="shared" si="12"/>
        <v>0.28814371257485027</v>
      </c>
      <c r="M63" s="32">
        <v>41.75</v>
      </c>
      <c r="N63" s="39">
        <f t="shared" si="18"/>
        <v>4.832175925925926E-4</v>
      </c>
      <c r="O63" s="12">
        <f t="shared" si="9"/>
        <v>0.87857744107744107</v>
      </c>
      <c r="P63" s="12" t="e">
        <f t="shared" si="13"/>
        <v>#VALUE!</v>
      </c>
      <c r="Q63" s="19" t="e">
        <f t="shared" si="14"/>
        <v>#VALUE!</v>
      </c>
      <c r="R63" s="20" t="e">
        <f t="shared" si="19"/>
        <v>#VALUE!</v>
      </c>
      <c r="S63" s="1"/>
      <c r="T63" s="1"/>
      <c r="U63" s="1"/>
    </row>
    <row r="64" spans="1:21" x14ac:dyDescent="0.2">
      <c r="A64" t="s">
        <v>7</v>
      </c>
      <c r="B64" s="30">
        <v>21.56</v>
      </c>
      <c r="C64" s="31">
        <f t="shared" si="4"/>
        <v>2.4953703703703705E-4</v>
      </c>
      <c r="D64" s="34">
        <v>4.82</v>
      </c>
      <c r="E64" s="31">
        <f t="shared" si="5"/>
        <v>5.5787037037037038E-5</v>
      </c>
      <c r="F64" s="12">
        <f t="shared" si="16"/>
        <v>0.98167006109979638</v>
      </c>
      <c r="G64" s="34">
        <v>4.91</v>
      </c>
      <c r="H64" s="31">
        <f t="shared" si="6"/>
        <v>5.6828703703703705E-5</v>
      </c>
      <c r="I64" s="12">
        <f t="shared" si="17"/>
        <v>1.2093596059113303</v>
      </c>
      <c r="J64" s="57">
        <v>4.0599999999999996</v>
      </c>
      <c r="K64" s="31">
        <f t="shared" si="7"/>
        <v>4.6990740740740734E-5</v>
      </c>
      <c r="L64" s="12">
        <f t="shared" si="12"/>
        <v>0.1878759833410458</v>
      </c>
      <c r="M64" s="32">
        <v>21.61</v>
      </c>
      <c r="N64" s="39">
        <f t="shared" si="18"/>
        <v>2.5011574074074075E-4</v>
      </c>
      <c r="O64" s="12">
        <f t="shared" si="9"/>
        <v>1.0023191094619666</v>
      </c>
      <c r="P64" s="12" t="e">
        <f t="shared" si="13"/>
        <v>#VALUE!</v>
      </c>
      <c r="Q64" s="19" t="e">
        <f t="shared" si="14"/>
        <v>#VALUE!</v>
      </c>
      <c r="R64" s="20" t="e">
        <f t="shared" si="19"/>
        <v>#VALUE!</v>
      </c>
      <c r="S64" s="1"/>
      <c r="T64" s="1"/>
      <c r="U64" s="1"/>
    </row>
    <row r="65" spans="1:21" x14ac:dyDescent="0.2">
      <c r="A65" t="s">
        <v>8</v>
      </c>
      <c r="B65" s="30">
        <v>3.33</v>
      </c>
      <c r="C65" s="31">
        <f t="shared" si="4"/>
        <v>3.8541666666666671E-5</v>
      </c>
      <c r="D65" s="34">
        <v>1.33</v>
      </c>
      <c r="E65" s="31">
        <f t="shared" si="5"/>
        <v>1.539351851851852E-5</v>
      </c>
      <c r="F65" s="12">
        <f t="shared" si="16"/>
        <v>1.0472440944881891</v>
      </c>
      <c r="G65" s="34">
        <v>1.27</v>
      </c>
      <c r="H65" s="31">
        <f t="shared" si="6"/>
        <v>1.4699074074074075E-5</v>
      </c>
      <c r="I65" s="12">
        <f t="shared" si="17"/>
        <v>1.221153846153846</v>
      </c>
      <c r="J65" s="57">
        <v>1.04</v>
      </c>
      <c r="K65" s="31">
        <f t="shared" si="7"/>
        <v>1.2037037037037037E-5</v>
      </c>
      <c r="L65" s="12">
        <f t="shared" si="12"/>
        <v>0.28260869565217389</v>
      </c>
      <c r="M65" s="32">
        <v>3.68</v>
      </c>
      <c r="N65" s="39">
        <f t="shared" si="18"/>
        <v>4.2592592592592592E-5</v>
      </c>
      <c r="O65" s="12">
        <f t="shared" si="9"/>
        <v>1.1051051051051051</v>
      </c>
      <c r="P65" s="12" t="e">
        <f t="shared" si="13"/>
        <v>#VALUE!</v>
      </c>
      <c r="Q65" s="19" t="e">
        <f t="shared" si="14"/>
        <v>#VALUE!</v>
      </c>
      <c r="R65" s="20" t="e">
        <f t="shared" si="19"/>
        <v>#VALUE!</v>
      </c>
      <c r="S65" s="1"/>
      <c r="T65" s="1"/>
      <c r="U65" s="1"/>
    </row>
    <row r="66" spans="1:21" x14ac:dyDescent="0.2">
      <c r="A66" t="s">
        <v>20</v>
      </c>
      <c r="B66" s="54">
        <v>1</v>
      </c>
      <c r="C66" s="55"/>
      <c r="D66" s="28"/>
      <c r="E66" s="1"/>
      <c r="F66" s="29"/>
      <c r="G66" s="28"/>
      <c r="I66" s="29"/>
      <c r="J66" s="28"/>
      <c r="L66" s="29"/>
      <c r="M66" s="28"/>
      <c r="P66"/>
      <c r="Q66" s="1"/>
      <c r="R66" s="1"/>
      <c r="S66" s="1"/>
    </row>
    <row r="67" spans="1:21" x14ac:dyDescent="0.2">
      <c r="A67" t="s">
        <v>21</v>
      </c>
      <c r="B67" s="49">
        <v>14</v>
      </c>
      <c r="C67" s="23"/>
      <c r="D67" s="52">
        <v>7</v>
      </c>
      <c r="E67" s="23"/>
      <c r="F67" s="29"/>
      <c r="G67" s="52">
        <v>6</v>
      </c>
      <c r="H67" s="23"/>
      <c r="I67" s="29"/>
      <c r="J67" s="52">
        <v>5</v>
      </c>
      <c r="K67" s="23"/>
      <c r="L67" s="29"/>
      <c r="M67" s="52">
        <v>0</v>
      </c>
      <c r="N67" s="23"/>
      <c r="Q67" s="1"/>
    </row>
    <row r="68" spans="1:21" x14ac:dyDescent="0.2">
      <c r="A68" t="s">
        <v>22</v>
      </c>
      <c r="B68" s="49">
        <v>53</v>
      </c>
      <c r="C68" s="23"/>
      <c r="D68" s="52">
        <v>12</v>
      </c>
      <c r="E68" s="23"/>
      <c r="F68" s="29"/>
      <c r="G68" s="52">
        <v>37</v>
      </c>
      <c r="H68" s="23"/>
      <c r="I68" s="29"/>
      <c r="J68" s="52">
        <v>7</v>
      </c>
      <c r="K68" s="23"/>
      <c r="L68" s="29"/>
      <c r="M68" s="52">
        <v>0</v>
      </c>
      <c r="N68" s="23"/>
      <c r="Q68" s="1"/>
    </row>
    <row r="69" spans="1:21" x14ac:dyDescent="0.2">
      <c r="A69" t="s">
        <v>23</v>
      </c>
      <c r="B69" s="49">
        <v>46</v>
      </c>
      <c r="C69" s="23"/>
      <c r="D69" s="52">
        <v>65</v>
      </c>
      <c r="E69" s="23"/>
      <c r="F69" s="29"/>
      <c r="G69" s="52">
        <v>17</v>
      </c>
      <c r="H69" s="23"/>
      <c r="I69" s="29"/>
      <c r="J69" s="52">
        <v>53</v>
      </c>
      <c r="K69" s="23"/>
      <c r="L69" s="29"/>
      <c r="M69" s="52">
        <v>0</v>
      </c>
      <c r="N69" s="23"/>
      <c r="Q69" s="1"/>
    </row>
    <row r="70" spans="1:21" x14ac:dyDescent="0.2">
      <c r="A70" t="s">
        <v>24</v>
      </c>
      <c r="B70" s="44">
        <f>B66*3600+B67*60+B68+B69*0.01</f>
        <v>4493.46</v>
      </c>
      <c r="C70" s="56">
        <f t="shared" ref="C70:K70" si="20">B70/86400</f>
        <v>5.2007638888888888E-2</v>
      </c>
      <c r="D70" s="46">
        <f>F66*3600+D67*60+D68+D69*0.01</f>
        <v>432.65</v>
      </c>
      <c r="E70" s="31">
        <f t="shared" ref="E70" si="21">D70/86400</f>
        <v>5.0075231481481481E-3</v>
      </c>
      <c r="F70" s="29"/>
      <c r="G70" s="46">
        <f>I66*3600+G67*60+G68+G69*0.01</f>
        <v>397.17</v>
      </c>
      <c r="H70" s="31">
        <f t="shared" ref="H70" si="22">G70/86400</f>
        <v>4.5968750000000003E-3</v>
      </c>
      <c r="I70" s="29"/>
      <c r="J70" s="46">
        <f>L66*3600+J67*60+J68+J69*0.01</f>
        <v>307.52999999999997</v>
      </c>
      <c r="K70" s="31">
        <f t="shared" si="20"/>
        <v>3.5593749999999996E-3</v>
      </c>
      <c r="L70" s="29"/>
      <c r="M70" s="46">
        <f>O66*3600+M67*60+M68+M69*0.01</f>
        <v>0</v>
      </c>
      <c r="N70" s="31">
        <f t="shared" ref="N70" si="23">M70/86400</f>
        <v>0</v>
      </c>
      <c r="Q70" s="1"/>
    </row>
    <row r="71" spans="1:21" x14ac:dyDescent="0.2">
      <c r="A71" t="s">
        <v>13</v>
      </c>
      <c r="B71" s="50"/>
      <c r="C71" s="29"/>
      <c r="D71" s="47"/>
      <c r="E71" s="1"/>
      <c r="F71" s="29"/>
      <c r="G71" s="47"/>
      <c r="I71" s="29"/>
      <c r="J71" s="47"/>
      <c r="L71" s="29"/>
      <c r="M71" s="47"/>
      <c r="P71"/>
      <c r="Q71" s="1"/>
      <c r="R71" s="1"/>
      <c r="S71" s="1"/>
    </row>
    <row r="72" spans="1:21" x14ac:dyDescent="0.2">
      <c r="A72" t="s">
        <v>14</v>
      </c>
      <c r="B72" s="50">
        <v>12</v>
      </c>
      <c r="C72" s="29"/>
      <c r="D72" s="51">
        <v>11</v>
      </c>
      <c r="E72" s="29"/>
      <c r="F72" s="29"/>
      <c r="G72" s="51">
        <v>11</v>
      </c>
      <c r="H72" s="29"/>
      <c r="I72" s="29"/>
      <c r="J72" s="51">
        <v>9</v>
      </c>
      <c r="K72" s="29"/>
      <c r="L72" s="29"/>
      <c r="M72" s="51">
        <v>0</v>
      </c>
      <c r="N72" s="29"/>
      <c r="Q72" s="1"/>
    </row>
    <row r="73" spans="1:21" x14ac:dyDescent="0.2">
      <c r="A73" t="s">
        <v>15</v>
      </c>
      <c r="B73" s="50">
        <v>46</v>
      </c>
      <c r="C73" s="29"/>
      <c r="D73" s="51">
        <v>53</v>
      </c>
      <c r="E73" s="29"/>
      <c r="F73" s="29"/>
      <c r="G73" s="51">
        <v>20</v>
      </c>
      <c r="H73" s="29"/>
      <c r="I73" s="29"/>
      <c r="J73" s="51">
        <v>8</v>
      </c>
      <c r="K73" s="29"/>
      <c r="L73" s="29"/>
      <c r="M73" s="51">
        <v>0</v>
      </c>
      <c r="N73" s="29"/>
      <c r="Q73" s="1"/>
    </row>
    <row r="74" spans="1:21" x14ac:dyDescent="0.2">
      <c r="A74" t="s">
        <v>16</v>
      </c>
      <c r="B74" s="50">
        <v>21</v>
      </c>
      <c r="C74" s="29"/>
      <c r="D74" s="51">
        <v>66</v>
      </c>
      <c r="E74" s="29"/>
      <c r="F74" s="29"/>
      <c r="G74" s="51">
        <v>37</v>
      </c>
      <c r="H74" s="29"/>
      <c r="I74" s="29"/>
      <c r="J74" s="51">
        <v>64</v>
      </c>
      <c r="K74" s="29"/>
      <c r="L74" s="29"/>
      <c r="M74" s="51">
        <v>0</v>
      </c>
      <c r="N74" s="29"/>
      <c r="Q74" s="1"/>
    </row>
    <row r="75" spans="1:21" ht="17" thickBot="1" x14ac:dyDescent="0.25">
      <c r="A75" t="s">
        <v>17</v>
      </c>
      <c r="B75" s="45">
        <f>J71*3600+B72*60+B73+B74*0.01</f>
        <v>766.21</v>
      </c>
      <c r="C75" s="33">
        <f t="shared" ref="C75:K75" si="24">B75/86400</f>
        <v>8.8681712962962959E-3</v>
      </c>
      <c r="D75" s="48">
        <f>F71*3600+D72*60+D73+D74*0.01</f>
        <v>713.66</v>
      </c>
      <c r="E75" s="33">
        <f t="shared" ref="E75" si="25">D75/86400</f>
        <v>8.2599537037037034E-3</v>
      </c>
      <c r="F75" s="37"/>
      <c r="G75" s="48">
        <f>I71*3600+G72*60+G73+G74*0.01</f>
        <v>680.37</v>
      </c>
      <c r="H75" s="33">
        <f t="shared" ref="H75" si="26">G75/86400</f>
        <v>7.8746527777777773E-3</v>
      </c>
      <c r="I75" s="37"/>
      <c r="J75" s="48">
        <f>L71*3600+J72*60+J73+J74*0.01</f>
        <v>548.64</v>
      </c>
      <c r="K75" s="33">
        <f t="shared" si="24"/>
        <v>6.3499999999999997E-3</v>
      </c>
      <c r="L75" s="37"/>
      <c r="M75" s="48">
        <f>O71*3600+M72*60+M73+M74*0.01</f>
        <v>0</v>
      </c>
      <c r="N75" s="33">
        <f t="shared" ref="N75" si="27">M75/86400</f>
        <v>0</v>
      </c>
      <c r="O75" s="36"/>
      <c r="Q75" s="1"/>
    </row>
    <row r="78" spans="1:21" x14ac:dyDescent="0.2">
      <c r="B78" s="53">
        <v>9.7835648148148144E-3</v>
      </c>
      <c r="L78" s="1" t="s">
        <v>47</v>
      </c>
    </row>
    <row r="79" spans="1:21" x14ac:dyDescent="0.2">
      <c r="B79" s="53">
        <v>1.2290625000000001E-2</v>
      </c>
    </row>
  </sheetData>
  <mergeCells count="5">
    <mergeCell ref="G45:I45"/>
    <mergeCell ref="B45:C45"/>
    <mergeCell ref="J45:L45"/>
    <mergeCell ref="M45:O45"/>
    <mergeCell ref="D45:F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17466-4CC3-AD4D-ACDD-B38F06C4DD61}">
  <dimension ref="B2:I35"/>
  <sheetViews>
    <sheetView zoomScale="134" workbookViewId="0">
      <selection activeCell="D1" sqref="D1:E1048576"/>
    </sheetView>
  </sheetViews>
  <sheetFormatPr baseColWidth="10" defaultRowHeight="16" x14ac:dyDescent="0.2"/>
  <cols>
    <col min="2" max="2" width="32.1640625" customWidth="1"/>
    <col min="3" max="3" width="13.1640625" style="1" bestFit="1" customWidth="1"/>
    <col min="4" max="4" width="11.5" style="1" bestFit="1" customWidth="1"/>
    <col min="5" max="5" width="11.5" bestFit="1" customWidth="1"/>
  </cols>
  <sheetData>
    <row r="2" spans="2:8" x14ac:dyDescent="0.2">
      <c r="C2" s="1" t="s">
        <v>12</v>
      </c>
      <c r="E2" t="s">
        <v>25</v>
      </c>
      <c r="F2" t="s">
        <v>26</v>
      </c>
    </row>
    <row r="3" spans="2:8" x14ac:dyDescent="0.2">
      <c r="B3" t="s">
        <v>19</v>
      </c>
      <c r="C3" s="3">
        <v>264024</v>
      </c>
      <c r="D3" s="3">
        <v>264024</v>
      </c>
      <c r="E3" s="7">
        <v>264024</v>
      </c>
      <c r="F3" s="7">
        <v>264024</v>
      </c>
      <c r="G3" s="7">
        <v>264024</v>
      </c>
      <c r="H3" s="7"/>
    </row>
    <row r="4" spans="2:8" x14ac:dyDescent="0.2">
      <c r="B4" t="s">
        <v>9</v>
      </c>
      <c r="C4" s="2">
        <v>0.05</v>
      </c>
      <c r="D4" s="1">
        <v>5</v>
      </c>
      <c r="E4">
        <v>5</v>
      </c>
      <c r="F4">
        <v>5</v>
      </c>
      <c r="G4">
        <v>10</v>
      </c>
    </row>
    <row r="5" spans="2:8" x14ac:dyDescent="0.2">
      <c r="B5" t="s">
        <v>3</v>
      </c>
      <c r="C5" s="3">
        <v>123</v>
      </c>
      <c r="D5" s="3">
        <v>12301</v>
      </c>
      <c r="E5" s="7">
        <v>12301</v>
      </c>
      <c r="F5" s="7">
        <v>12301</v>
      </c>
      <c r="G5" s="7">
        <v>24062</v>
      </c>
    </row>
    <row r="6" spans="2:8" x14ac:dyDescent="0.2">
      <c r="B6" t="s">
        <v>18</v>
      </c>
      <c r="C6" s="3">
        <v>34</v>
      </c>
      <c r="D6" s="3">
        <v>4071</v>
      </c>
      <c r="E6" s="7">
        <v>4014</v>
      </c>
      <c r="F6" s="7">
        <v>4037</v>
      </c>
      <c r="G6" s="7">
        <v>8000</v>
      </c>
    </row>
    <row r="7" spans="2:8" x14ac:dyDescent="0.2">
      <c r="B7" t="s">
        <v>10</v>
      </c>
      <c r="C7" s="3">
        <v>55</v>
      </c>
      <c r="D7" s="1">
        <v>55</v>
      </c>
      <c r="E7" s="7">
        <v>55</v>
      </c>
      <c r="F7" s="7">
        <v>55</v>
      </c>
      <c r="G7" s="7">
        <v>55</v>
      </c>
    </row>
    <row r="8" spans="2:8" x14ac:dyDescent="0.2">
      <c r="B8" t="s">
        <v>11</v>
      </c>
      <c r="C8" s="5">
        <v>39813</v>
      </c>
    </row>
    <row r="10" spans="2:8" x14ac:dyDescent="0.2">
      <c r="B10" t="s">
        <v>0</v>
      </c>
      <c r="C10" s="2">
        <v>0.57999999999999996</v>
      </c>
      <c r="D10" s="1">
        <v>48.07</v>
      </c>
      <c r="E10">
        <v>47.63</v>
      </c>
      <c r="F10">
        <v>48.55</v>
      </c>
      <c r="G10" s="6">
        <v>94.49</v>
      </c>
    </row>
    <row r="11" spans="2:8" x14ac:dyDescent="0.2">
      <c r="B11" t="s">
        <v>1</v>
      </c>
      <c r="C11" s="2">
        <v>0.04</v>
      </c>
      <c r="D11" s="1">
        <v>6.89</v>
      </c>
      <c r="E11">
        <v>6.78</v>
      </c>
      <c r="F11">
        <v>6.88</v>
      </c>
      <c r="G11" s="6">
        <v>17.48</v>
      </c>
    </row>
    <row r="12" spans="2:8" x14ac:dyDescent="0.2">
      <c r="B12" t="s">
        <v>2</v>
      </c>
      <c r="C12" s="2">
        <v>6.0999999999999999E-2</v>
      </c>
      <c r="D12" s="1">
        <v>74.73</v>
      </c>
      <c r="E12">
        <v>74.959999999999994</v>
      </c>
      <c r="F12">
        <v>75.91</v>
      </c>
      <c r="G12" s="6">
        <v>148.6</v>
      </c>
    </row>
    <row r="13" spans="2:8" x14ac:dyDescent="0.2">
      <c r="B13" t="s">
        <v>4</v>
      </c>
      <c r="C13" s="2">
        <v>0</v>
      </c>
      <c r="D13" s="1">
        <v>0.01</v>
      </c>
      <c r="E13">
        <v>0.01</v>
      </c>
      <c r="F13">
        <v>0.01</v>
      </c>
      <c r="G13" s="6">
        <v>0.01</v>
      </c>
    </row>
    <row r="14" spans="2:8" x14ac:dyDescent="0.2">
      <c r="B14" t="s">
        <v>1</v>
      </c>
      <c r="C14" s="2">
        <v>0.02</v>
      </c>
      <c r="D14" s="1">
        <v>3.32</v>
      </c>
      <c r="E14">
        <v>3.01</v>
      </c>
      <c r="F14">
        <v>3.02</v>
      </c>
      <c r="G14" s="6">
        <v>7.89</v>
      </c>
    </row>
    <row r="15" spans="2:8" x14ac:dyDescent="0.2">
      <c r="B15" t="s">
        <v>5</v>
      </c>
      <c r="C15" s="2">
        <v>0.16</v>
      </c>
      <c r="D15" s="1">
        <v>15.87</v>
      </c>
      <c r="E15">
        <v>16.05</v>
      </c>
      <c r="F15">
        <v>16.510000000000002</v>
      </c>
      <c r="G15" s="6">
        <v>38.11</v>
      </c>
    </row>
    <row r="16" spans="2:8" x14ac:dyDescent="0.2">
      <c r="B16" t="s">
        <v>6</v>
      </c>
      <c r="C16" s="2">
        <v>7.0000000000000007E-2</v>
      </c>
      <c r="D16" s="1">
        <v>10.44</v>
      </c>
      <c r="E16">
        <v>10.56</v>
      </c>
      <c r="F16">
        <v>10.73</v>
      </c>
      <c r="G16" s="6">
        <v>21.82</v>
      </c>
    </row>
    <row r="17" spans="2:9" x14ac:dyDescent="0.2">
      <c r="B17" t="s">
        <v>7</v>
      </c>
      <c r="C17" s="2">
        <v>0.02</v>
      </c>
      <c r="D17" s="1">
        <v>3.08</v>
      </c>
      <c r="E17">
        <v>2.98</v>
      </c>
      <c r="F17">
        <v>2.87</v>
      </c>
      <c r="G17" s="6">
        <v>7.48</v>
      </c>
    </row>
    <row r="18" spans="2:9" x14ac:dyDescent="0.2">
      <c r="B18" t="s">
        <v>8</v>
      </c>
      <c r="C18" s="2">
        <v>0.01</v>
      </c>
      <c r="D18" s="1">
        <v>0.83</v>
      </c>
      <c r="E18">
        <v>0.88</v>
      </c>
      <c r="F18">
        <v>0.91</v>
      </c>
      <c r="G18" s="6">
        <v>1.77</v>
      </c>
    </row>
    <row r="19" spans="2:9" x14ac:dyDescent="0.2">
      <c r="B19" t="s">
        <v>10</v>
      </c>
      <c r="C19" s="2"/>
      <c r="D19" s="2"/>
    </row>
    <row r="20" spans="2:9" x14ac:dyDescent="0.2">
      <c r="B20" t="s">
        <v>20</v>
      </c>
      <c r="C20" s="3">
        <v>0</v>
      </c>
      <c r="D20" s="3"/>
    </row>
    <row r="21" spans="2:9" x14ac:dyDescent="0.2">
      <c r="B21" t="s">
        <v>21</v>
      </c>
      <c r="C21" s="3"/>
      <c r="D21" s="3">
        <v>13</v>
      </c>
      <c r="E21" s="7">
        <v>13</v>
      </c>
      <c r="F21" s="7">
        <v>13</v>
      </c>
      <c r="G21" s="7">
        <v>27</v>
      </c>
      <c r="H21" s="7"/>
      <c r="I21" s="7"/>
    </row>
    <row r="22" spans="2:9" x14ac:dyDescent="0.2">
      <c r="B22" t="s">
        <v>22</v>
      </c>
      <c r="C22" s="3">
        <v>22</v>
      </c>
      <c r="D22" s="3">
        <v>21</v>
      </c>
      <c r="E22" s="7">
        <v>39</v>
      </c>
      <c r="F22" s="7">
        <v>33</v>
      </c>
      <c r="G22" s="7">
        <v>43</v>
      </c>
      <c r="H22" s="7"/>
      <c r="I22" s="7"/>
    </row>
    <row r="23" spans="2:9" x14ac:dyDescent="0.2">
      <c r="B23" t="s">
        <v>23</v>
      </c>
      <c r="C23" s="3">
        <v>15</v>
      </c>
      <c r="D23" s="3">
        <v>16</v>
      </c>
      <c r="E23" s="7">
        <v>60</v>
      </c>
      <c r="F23" s="7">
        <v>50</v>
      </c>
      <c r="G23" s="7">
        <v>15</v>
      </c>
      <c r="H23" s="7"/>
      <c r="I23" s="7"/>
    </row>
    <row r="24" spans="2:9" x14ac:dyDescent="0.2">
      <c r="B24" t="s">
        <v>24</v>
      </c>
      <c r="C24" s="2">
        <f>C20*3600+C21*60+C22+C23*0.01</f>
        <v>22.15</v>
      </c>
      <c r="D24" s="2">
        <f>D20*3600+D21*60+D22+D23*0.01</f>
        <v>801.16</v>
      </c>
      <c r="E24" s="2">
        <f>E20*3600+E21*60+E22+E23*0.01</f>
        <v>819.6</v>
      </c>
      <c r="F24" s="2">
        <f>F20*3600+F21*60+F22+F23*0.01</f>
        <v>813.5</v>
      </c>
      <c r="G24" s="2">
        <f>G20*3600+G21*60+G22+G23*0.01</f>
        <v>1663.15</v>
      </c>
    </row>
    <row r="25" spans="2:9" x14ac:dyDescent="0.2">
      <c r="C25" s="3"/>
      <c r="D25" s="3"/>
    </row>
    <row r="26" spans="2:9" x14ac:dyDescent="0.2">
      <c r="B26" t="s">
        <v>13</v>
      </c>
      <c r="C26" s="3">
        <v>0</v>
      </c>
    </row>
    <row r="27" spans="2:9" x14ac:dyDescent="0.2">
      <c r="B27" t="s">
        <v>14</v>
      </c>
      <c r="C27" s="3"/>
      <c r="D27" s="1">
        <v>16</v>
      </c>
      <c r="E27">
        <v>17</v>
      </c>
      <c r="F27">
        <v>17</v>
      </c>
      <c r="G27">
        <v>34</v>
      </c>
    </row>
    <row r="28" spans="2:9" x14ac:dyDescent="0.2">
      <c r="B28" t="s">
        <v>15</v>
      </c>
      <c r="C28" s="3">
        <v>22</v>
      </c>
      <c r="D28" s="1">
        <v>56</v>
      </c>
      <c r="E28">
        <v>6</v>
      </c>
      <c r="F28">
        <v>3</v>
      </c>
      <c r="G28">
        <v>46</v>
      </c>
    </row>
    <row r="29" spans="2:9" x14ac:dyDescent="0.2">
      <c r="B29" t="s">
        <v>16</v>
      </c>
      <c r="C29" s="3">
        <v>15</v>
      </c>
      <c r="D29" s="1">
        <v>19</v>
      </c>
      <c r="E29">
        <v>26</v>
      </c>
      <c r="F29">
        <v>15</v>
      </c>
      <c r="G29">
        <v>78</v>
      </c>
    </row>
    <row r="30" spans="2:9" x14ac:dyDescent="0.2">
      <c r="B30" t="s">
        <v>17</v>
      </c>
      <c r="C30" s="2">
        <f>C26*3600+C27*60+C28+C29*0.01</f>
        <v>22.15</v>
      </c>
      <c r="D30" s="2">
        <f>D26*3600+D27*60+D28+D29*0.01</f>
        <v>1016.19</v>
      </c>
      <c r="E30" s="2">
        <f>E26*3600+E27*60+E28+E29*0.01</f>
        <v>1026.26</v>
      </c>
      <c r="F30" s="2">
        <f>F26*3600+F27*60+F28+F29*0.01</f>
        <v>1023.15</v>
      </c>
      <c r="G30" s="2">
        <f>G26*3600+G27*60+G28+G29*0.01</f>
        <v>2086.7800000000002</v>
      </c>
    </row>
    <row r="31" spans="2:9" x14ac:dyDescent="0.2">
      <c r="C31" s="3"/>
    </row>
    <row r="32" spans="2:9" x14ac:dyDescent="0.2">
      <c r="C32" s="3"/>
    </row>
    <row r="33" spans="3:3" x14ac:dyDescent="0.2">
      <c r="C33" s="3"/>
    </row>
    <row r="35" spans="3:3" x14ac:dyDescent="0.2">
      <c r="C3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E4DA6-ED13-5549-9E98-F373E7442A5A}">
  <dimension ref="A2:C2"/>
  <sheetViews>
    <sheetView tabSelected="1" zoomScale="133" workbookViewId="0">
      <selection activeCell="C3" sqref="C3"/>
    </sheetView>
  </sheetViews>
  <sheetFormatPr baseColWidth="10" defaultRowHeight="16" x14ac:dyDescent="0.2"/>
  <cols>
    <col min="1" max="1" width="6.5" bestFit="1" customWidth="1"/>
    <col min="2" max="2" width="12.6640625" bestFit="1" customWidth="1"/>
    <col min="3" max="3" width="22.5" bestFit="1" customWidth="1"/>
  </cols>
  <sheetData>
    <row r="2" spans="1:3" x14ac:dyDescent="0.2">
      <c r="A2" t="s">
        <v>52</v>
      </c>
      <c r="B2" t="s">
        <v>53</v>
      </c>
      <c r="C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Levine</dc:creator>
  <cp:lastModifiedBy>Charles Levine</cp:lastModifiedBy>
  <dcterms:created xsi:type="dcterms:W3CDTF">2025-12-03T18:17:37Z</dcterms:created>
  <dcterms:modified xsi:type="dcterms:W3CDTF">2025-12-12T23:39:30Z</dcterms:modified>
</cp:coreProperties>
</file>