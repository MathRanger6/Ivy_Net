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2-Way_Ahead\PDE and AI collaboration\"/>
    </mc:Choice>
  </mc:AlternateContent>
  <xr:revisionPtr revIDLastSave="0" documentId="13_ncr:1_{85634CAA-FA5E-476B-A607-2C10E67A5BED}" xr6:coauthVersionLast="47" xr6:coauthVersionMax="47" xr10:uidLastSave="{00000000-0000-0000-0000-000000000000}"/>
  <bookViews>
    <workbookView xWindow="2235" yWindow="-14820" windowWidth="23370" windowHeight="13035" xr2:uid="{7FB9CA2C-6A68-3648-9F60-15CCA4C6414A}"/>
  </bookViews>
  <sheets>
    <sheet name="FMS_data DE-I" sheetId="6" r:id="rId1"/>
  </sheets>
  <definedNames>
    <definedName name="_xlnm.Print_Area" localSheetId="0">'FMS_data DE-I'!$A$1:$J$53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6" l="1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I6" i="6"/>
  <c r="H6" i="6"/>
  <c r="G6" i="6"/>
  <c r="F6" i="6"/>
  <c r="E6" i="6"/>
  <c r="D6" i="6"/>
  <c r="C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I5" i="6"/>
  <c r="H5" i="6"/>
  <c r="G5" i="6"/>
  <c r="F5" i="6"/>
  <c r="E5" i="6"/>
  <c r="D5" i="6"/>
  <c r="C5" i="6"/>
</calcChain>
</file>

<file path=xl/sharedStrings.xml><?xml version="1.0" encoding="utf-8"?>
<sst xmlns="http://schemas.openxmlformats.org/spreadsheetml/2006/main" count="439" uniqueCount="142">
  <si>
    <t>A</t>
  </si>
  <si>
    <t>service</t>
  </si>
  <si>
    <t>compo</t>
  </si>
  <si>
    <t>uic_pde</t>
  </si>
  <si>
    <t>uic_grp</t>
  </si>
  <si>
    <t>superior_uic_pde</t>
  </si>
  <si>
    <t>TOE_ACTIVE_ARMY</t>
  </si>
  <si>
    <t>date_fy</t>
  </si>
  <si>
    <t>BN</t>
  </si>
  <si>
    <t>Battalion</t>
  </si>
  <si>
    <t>date_effective</t>
  </si>
  <si>
    <t>compo_enu</t>
  </si>
  <si>
    <t>Active Army</t>
  </si>
  <si>
    <t>C</t>
  </si>
  <si>
    <t>Regular - Active - Combat</t>
  </si>
  <si>
    <t>D</t>
  </si>
  <si>
    <t>Regular - Active - Combat Service</t>
  </si>
  <si>
    <t>0</t>
  </si>
  <si>
    <t>Infantry</t>
  </si>
  <si>
    <t>Secretary, Agency, or Major Command</t>
  </si>
  <si>
    <t>hierarchy_depth</t>
  </si>
  <si>
    <t>row_num</t>
  </si>
  <si>
    <t>parent_segment_uic_pde</t>
  </si>
  <si>
    <t>child_segment_uic_pde</t>
  </si>
  <si>
    <t>id</t>
  </si>
  <si>
    <t>auth_civilian</t>
  </si>
  <si>
    <t>auth_total</t>
  </si>
  <si>
    <t>date_file</t>
  </si>
  <si>
    <t>type_file</t>
  </si>
  <si>
    <t>source_project</t>
  </si>
  <si>
    <t>source_file</t>
  </si>
  <si>
    <t>source_table</t>
  </si>
  <si>
    <t>superior_id</t>
  </si>
  <si>
    <t>majcom_uic_pde</t>
  </si>
  <si>
    <t>majcom_assigned</t>
  </si>
  <si>
    <t>majcom_assigned_enu</t>
  </si>
  <si>
    <t>utcat</t>
  </si>
  <si>
    <t>utarmycat</t>
  </si>
  <si>
    <t>catcode</t>
  </si>
  <si>
    <t>unit_class</t>
  </si>
  <si>
    <t>udc_unit_descriptor_cd</t>
  </si>
  <si>
    <t>udc_unit_descriptor_enu</t>
  </si>
  <si>
    <t>tpsn5_troop_program_seq_grp</t>
  </si>
  <si>
    <t>elseq_element_sequence_grp</t>
  </si>
  <si>
    <t>ulc_unit_level_cd</t>
  </si>
  <si>
    <t>ulc_unit_level_enu</t>
  </si>
  <si>
    <t>utc_unit_type_cd</t>
  </si>
  <si>
    <t>utc_unit_type_enu</t>
  </si>
  <si>
    <t>fuac_functional_area_cd</t>
  </si>
  <si>
    <t>fuac_functional_area_cd_enu</t>
  </si>
  <si>
    <t>name_geolocation</t>
  </si>
  <si>
    <t>hogeo_geolocation_home</t>
  </si>
  <si>
    <t>arloc_home</t>
  </si>
  <si>
    <t>arloc_present</t>
  </si>
  <si>
    <t>prgeo_geolocation_present</t>
  </si>
  <si>
    <t>areax_locco_cd</t>
  </si>
  <si>
    <t>zip_present_loc_pde</t>
  </si>
  <si>
    <t>apo_present_loc_pde</t>
  </si>
  <si>
    <t>sclas_unit_classifiction</t>
  </si>
  <si>
    <t>date_unit_organized</t>
  </si>
  <si>
    <t>date_unit_organized_proposed</t>
  </si>
  <si>
    <t>auth_officer</t>
  </si>
  <si>
    <t>OD0ZYUFZ0O</t>
  </si>
  <si>
    <t>P1</t>
  </si>
  <si>
    <t>USARPAC</t>
  </si>
  <si>
    <t>ARMY</t>
  </si>
  <si>
    <t>COMBAT</t>
  </si>
  <si>
    <t>INF</t>
  </si>
  <si>
    <t>UNIT</t>
  </si>
  <si>
    <t>CO</t>
  </si>
  <si>
    <t>INFANTRY BDE</t>
  </si>
  <si>
    <t>ORGANIC UNIT</t>
  </si>
  <si>
    <t>HHC</t>
  </si>
  <si>
    <t>HQ and HQ Company</t>
  </si>
  <si>
    <t>JB ELMENDORF-RICH</t>
  </si>
  <si>
    <t>FXSB</t>
  </si>
  <si>
    <t>AK</t>
  </si>
  <si>
    <t>9950X</t>
  </si>
  <si>
    <t>UNCLASSIFIED</t>
  </si>
  <si>
    <t>1-501</t>
  </si>
  <si>
    <t>02265</t>
  </si>
  <si>
    <t>2018-08-16 00:00:00</t>
  </si>
  <si>
    <t>1986-07-15 00:00:00</t>
  </si>
  <si>
    <t>42</t>
  </si>
  <si>
    <t>599</t>
  </si>
  <si>
    <t>auth_enlisted</t>
  </si>
  <si>
    <t>auth_warrant</t>
  </si>
  <si>
    <t>641</t>
  </si>
  <si>
    <t>2018-09-30 00:00:00</t>
  </si>
  <si>
    <t>2021-05-17 00:00:00</t>
  </si>
  <si>
    <t>TRANSACT</t>
  </si>
  <si>
    <t>FMS_WEB_LOOKUP_ACCOUNT</t>
  </si>
  <si>
    <t>FMS_WEB</t>
  </si>
  <si>
    <t>LKUP_FMS_UIC_HIERARCHY_FY2019</t>
  </si>
  <si>
    <t>1986-11-16 00:00:00</t>
  </si>
  <si>
    <t>BDE</t>
  </si>
  <si>
    <t>HQ</t>
  </si>
  <si>
    <t>Brigade</t>
  </si>
  <si>
    <t>2005-09-16 00:00:00</t>
  </si>
  <si>
    <t>USARAK?</t>
  </si>
  <si>
    <t>8</t>
  </si>
  <si>
    <t>TDA_ACTIVE_ARMY</t>
  </si>
  <si>
    <t>MILSVC</t>
  </si>
  <si>
    <t>EXCMIL</t>
  </si>
  <si>
    <t>MSC</t>
  </si>
  <si>
    <t>X</t>
  </si>
  <si>
    <t>Regular - Active - Other</t>
  </si>
  <si>
    <t>CMD</t>
  </si>
  <si>
    <t>Command</t>
  </si>
  <si>
    <t>1997-05-14 00:00:00</t>
  </si>
  <si>
    <t>1997-04-17 00:00:00</t>
  </si>
  <si>
    <t>Null</t>
  </si>
  <si>
    <t>PACOM?</t>
  </si>
  <si>
    <t>MC</t>
  </si>
  <si>
    <t>ARMY SERVICE COMPONENT CMD</t>
  </si>
  <si>
    <t>FT SHAFTER</t>
  </si>
  <si>
    <t>HKJN</t>
  </si>
  <si>
    <t>HI</t>
  </si>
  <si>
    <t>96858</t>
  </si>
  <si>
    <t>2008-07-15 00:00:00</t>
  </si>
  <si>
    <t>2008-03-18 00:00:00</t>
  </si>
  <si>
    <t>439</t>
  </si>
  <si>
    <t>6</t>
  </si>
  <si>
    <t>FORCE</t>
  </si>
  <si>
    <t>DOD</t>
  </si>
  <si>
    <t>DEPT</t>
  </si>
  <si>
    <t>FORSCOM?</t>
  </si>
  <si>
    <t>EXEC_BR</t>
  </si>
  <si>
    <t>JOINT</t>
  </si>
  <si>
    <t>2018-09-30 00:00:01</t>
  </si>
  <si>
    <t>2021-05-17 00:00:01</t>
  </si>
  <si>
    <t>LKUP_FMS_UIC_HIERARCHY_FY2020</t>
  </si>
  <si>
    <t>B6N7K22H1L</t>
  </si>
  <si>
    <t>B6N7K2DF20</t>
  </si>
  <si>
    <t>JJHT4S8HYF</t>
  </si>
  <si>
    <t>YT7G8K8HYF</t>
  </si>
  <si>
    <t>PLI85E8HYF</t>
  </si>
  <si>
    <t>XVT23D8HYF</t>
  </si>
  <si>
    <t>QW3T5S8HYF</t>
  </si>
  <si>
    <t>HHC 1-501, 2-11 ABN</t>
  </si>
  <si>
    <t>2-11 ABN</t>
  </si>
  <si>
    <t>DF_HIER_MASTER 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</si>
</sst>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6DE1-91F8-4EAC-BC40-2553AC5DC2B4}">
  <sheetPr>
    <pageSetUpPr fitToPage="1"/>
  </sheetPr>
  <dimension ref="A1:AB54"/>
  <sheetViews>
    <sheetView tabSelected="1" workbookViewId="0">
      <pane xSplit="1" topLeftCell="B1" activePane="topRight" state="frozen"/>
      <selection activeCell="A10" sqref="A10"/>
      <selection pane="topRight" activeCell="A2" sqref="A2"/>
    </sheetView>
  </sheetViews>
  <sheetFormatPr defaultRowHeight="15.75" x14ac:dyDescent="0.25"/>
  <cols>
    <col min="1" max="1" width="30" customWidth="1"/>
    <col min="3" max="5" width="31.25" style="2" bestFit="1" customWidth="1"/>
    <col min="6" max="6" width="32.375" style="2" bestFit="1" customWidth="1"/>
    <col min="7" max="7" width="31.125" style="1" customWidth="1"/>
    <col min="8" max="8" width="33.875" style="2" customWidth="1"/>
    <col min="9" max="10" width="31.25" bestFit="1" customWidth="1"/>
  </cols>
  <sheetData>
    <row r="1" spans="1:28" s="3" customFormat="1" ht="16.5" thickBot="1" x14ac:dyDescent="0.3">
      <c r="A1" s="6" t="s">
        <v>141</v>
      </c>
      <c r="B1" s="6"/>
      <c r="C1" s="7" t="s">
        <v>139</v>
      </c>
      <c r="D1" s="7" t="s">
        <v>79</v>
      </c>
      <c r="E1" s="7" t="s">
        <v>140</v>
      </c>
      <c r="F1" s="7" t="s">
        <v>99</v>
      </c>
      <c r="G1" s="7" t="s">
        <v>112</v>
      </c>
      <c r="H1" s="7" t="s">
        <v>126</v>
      </c>
      <c r="I1" s="6"/>
      <c r="J1" s="7" t="s">
        <v>124</v>
      </c>
    </row>
    <row r="2" spans="1:28" ht="16.5" thickTop="1" x14ac:dyDescent="0.25">
      <c r="A2" s="3" t="s">
        <v>21</v>
      </c>
      <c r="C2" s="2">
        <v>5259</v>
      </c>
      <c r="D2" s="2">
        <v>5258</v>
      </c>
      <c r="E2" s="2">
        <v>5255</v>
      </c>
      <c r="F2" s="2">
        <v>5189</v>
      </c>
      <c r="G2" s="2">
        <v>4683</v>
      </c>
      <c r="H2" s="2" t="s">
        <v>121</v>
      </c>
      <c r="I2" s="2">
        <v>64</v>
      </c>
      <c r="J2" s="2">
        <v>8</v>
      </c>
    </row>
    <row r="3" spans="1:28" x14ac:dyDescent="0.25">
      <c r="A3" t="s">
        <v>20</v>
      </c>
      <c r="C3" s="2">
        <v>11</v>
      </c>
      <c r="D3" s="2">
        <v>10</v>
      </c>
      <c r="E3" s="2">
        <v>9</v>
      </c>
      <c r="F3" s="2" t="s">
        <v>100</v>
      </c>
      <c r="G3" s="2">
        <v>7</v>
      </c>
      <c r="H3" s="2" t="s">
        <v>122</v>
      </c>
      <c r="I3" s="2">
        <v>5</v>
      </c>
      <c r="J3" s="2">
        <v>4</v>
      </c>
    </row>
    <row r="4" spans="1:28" x14ac:dyDescent="0.25">
      <c r="A4" t="s">
        <v>3</v>
      </c>
      <c r="C4" s="8" t="s">
        <v>133</v>
      </c>
      <c r="D4" s="8" t="s">
        <v>132</v>
      </c>
      <c r="E4" s="2" t="s">
        <v>135</v>
      </c>
      <c r="F4" s="2" t="s">
        <v>136</v>
      </c>
      <c r="G4" s="2" t="s">
        <v>134</v>
      </c>
      <c r="H4" s="2" t="s">
        <v>137</v>
      </c>
      <c r="I4" s="2" t="s">
        <v>138</v>
      </c>
      <c r="J4" s="2" t="s">
        <v>124</v>
      </c>
    </row>
    <row r="5" spans="1:28" x14ac:dyDescent="0.25">
      <c r="A5" t="s">
        <v>22</v>
      </c>
      <c r="C5" s="1" t="str">
        <f>LEFT(C4,6)</f>
        <v>B6N7K2</v>
      </c>
      <c r="D5" s="1" t="str">
        <f t="shared" ref="D5:I5" si="0">LEFT(D4,6)</f>
        <v>B6N7K2</v>
      </c>
      <c r="E5" s="1" t="str">
        <f t="shared" si="0"/>
        <v>YT7G8K</v>
      </c>
      <c r="F5" s="1" t="str">
        <f t="shared" si="0"/>
        <v>PLI85E</v>
      </c>
      <c r="G5" s="1" t="str">
        <f t="shared" si="0"/>
        <v>JJHT4S</v>
      </c>
      <c r="H5" s="1" t="str">
        <f t="shared" si="0"/>
        <v>XVT23D</v>
      </c>
      <c r="I5" s="1" t="str">
        <f t="shared" si="0"/>
        <v>QW3T5S</v>
      </c>
      <c r="J5" s="4" t="s">
        <v>111</v>
      </c>
      <c r="K5" s="1" t="str">
        <f t="shared" ref="K5:AB5" si="1">LEFT(K4,6)</f>
        <v/>
      </c>
      <c r="L5" s="1" t="str">
        <f t="shared" si="1"/>
        <v/>
      </c>
      <c r="M5" s="1" t="str">
        <f t="shared" si="1"/>
        <v/>
      </c>
      <c r="N5" s="1" t="str">
        <f t="shared" si="1"/>
        <v/>
      </c>
      <c r="O5" s="1" t="str">
        <f t="shared" si="1"/>
        <v/>
      </c>
      <c r="P5" s="1" t="str">
        <f t="shared" si="1"/>
        <v/>
      </c>
      <c r="Q5" s="1" t="str">
        <f t="shared" si="1"/>
        <v/>
      </c>
      <c r="R5" s="1" t="str">
        <f t="shared" si="1"/>
        <v/>
      </c>
      <c r="S5" s="1" t="str">
        <f t="shared" si="1"/>
        <v/>
      </c>
      <c r="T5" s="1" t="str">
        <f t="shared" si="1"/>
        <v/>
      </c>
      <c r="U5" s="1" t="str">
        <f t="shared" si="1"/>
        <v/>
      </c>
      <c r="V5" s="1" t="str">
        <f t="shared" si="1"/>
        <v/>
      </c>
      <c r="W5" s="1" t="str">
        <f t="shared" si="1"/>
        <v/>
      </c>
      <c r="X5" s="1" t="str">
        <f t="shared" si="1"/>
        <v/>
      </c>
      <c r="Y5" s="1" t="str">
        <f t="shared" si="1"/>
        <v/>
      </c>
      <c r="Z5" s="1" t="str">
        <f t="shared" si="1"/>
        <v/>
      </c>
      <c r="AA5" s="1" t="str">
        <f t="shared" si="1"/>
        <v/>
      </c>
      <c r="AB5" s="1" t="str">
        <f t="shared" si="1"/>
        <v/>
      </c>
    </row>
    <row r="6" spans="1:28" x14ac:dyDescent="0.25">
      <c r="A6" t="s">
        <v>23</v>
      </c>
      <c r="C6" s="1" t="str">
        <f>RIGHT(C4,4)</f>
        <v>DF20</v>
      </c>
      <c r="D6" s="1" t="str">
        <f t="shared" ref="D6:AB6" si="2">RIGHT(D4,4)</f>
        <v>2H1L</v>
      </c>
      <c r="E6" s="1" t="str">
        <f t="shared" si="2"/>
        <v>8HYF</v>
      </c>
      <c r="F6" s="1" t="str">
        <f t="shared" si="2"/>
        <v>8HYF</v>
      </c>
      <c r="G6" s="1" t="str">
        <f t="shared" si="2"/>
        <v>8HYF</v>
      </c>
      <c r="H6" s="1" t="str">
        <f t="shared" si="2"/>
        <v>8HYF</v>
      </c>
      <c r="I6" s="1" t="str">
        <f t="shared" si="2"/>
        <v>8HYF</v>
      </c>
      <c r="J6" s="4" t="s">
        <v>111</v>
      </c>
      <c r="K6" s="1" t="str">
        <f t="shared" si="2"/>
        <v/>
      </c>
      <c r="L6" s="1" t="str">
        <f t="shared" si="2"/>
        <v/>
      </c>
      <c r="M6" s="1" t="str">
        <f t="shared" si="2"/>
        <v/>
      </c>
      <c r="N6" s="1" t="str">
        <f t="shared" si="2"/>
        <v/>
      </c>
      <c r="O6" s="1" t="str">
        <f t="shared" si="2"/>
        <v/>
      </c>
      <c r="P6" s="1" t="str">
        <f t="shared" si="2"/>
        <v/>
      </c>
      <c r="Q6" s="1" t="str">
        <f t="shared" si="2"/>
        <v/>
      </c>
      <c r="R6" s="1" t="str">
        <f t="shared" si="2"/>
        <v/>
      </c>
      <c r="S6" s="1" t="str">
        <f t="shared" si="2"/>
        <v/>
      </c>
      <c r="T6" s="1" t="str">
        <f t="shared" si="2"/>
        <v/>
      </c>
      <c r="U6" s="1" t="str">
        <f t="shared" si="2"/>
        <v/>
      </c>
      <c r="V6" s="1" t="str">
        <f t="shared" si="2"/>
        <v/>
      </c>
      <c r="W6" s="1" t="str">
        <f t="shared" si="2"/>
        <v/>
      </c>
      <c r="X6" s="1" t="str">
        <f t="shared" si="2"/>
        <v/>
      </c>
      <c r="Y6" s="1" t="str">
        <f t="shared" si="2"/>
        <v/>
      </c>
      <c r="Z6" s="1" t="str">
        <f t="shared" si="2"/>
        <v/>
      </c>
      <c r="AA6" s="1" t="str">
        <f t="shared" si="2"/>
        <v/>
      </c>
      <c r="AB6" s="1" t="str">
        <f t="shared" si="2"/>
        <v/>
      </c>
    </row>
    <row r="7" spans="1:28" x14ac:dyDescent="0.25">
      <c r="A7" t="s">
        <v>4</v>
      </c>
      <c r="C7" s="2" t="s">
        <v>6</v>
      </c>
      <c r="D7" s="2" t="s">
        <v>6</v>
      </c>
      <c r="E7" s="2" t="s">
        <v>6</v>
      </c>
      <c r="F7" s="2" t="s">
        <v>101</v>
      </c>
      <c r="G7" s="2" t="s">
        <v>6</v>
      </c>
      <c r="H7" s="4" t="s">
        <v>111</v>
      </c>
      <c r="I7" s="4" t="s">
        <v>111</v>
      </c>
      <c r="J7" s="4" t="s">
        <v>111</v>
      </c>
    </row>
    <row r="8" spans="1:28" x14ac:dyDescent="0.25">
      <c r="A8" t="s">
        <v>24</v>
      </c>
      <c r="C8" s="4" t="s">
        <v>111</v>
      </c>
      <c r="D8" s="4" t="s">
        <v>111</v>
      </c>
      <c r="E8" s="4" t="s">
        <v>111</v>
      </c>
      <c r="F8" s="4" t="s">
        <v>111</v>
      </c>
      <c r="G8" s="4" t="s">
        <v>111</v>
      </c>
      <c r="H8" s="4" t="s">
        <v>111</v>
      </c>
      <c r="I8" s="4" t="s">
        <v>111</v>
      </c>
      <c r="J8" s="4" t="s">
        <v>111</v>
      </c>
    </row>
    <row r="9" spans="1:28" x14ac:dyDescent="0.25">
      <c r="A9" t="s">
        <v>5</v>
      </c>
      <c r="C9" s="2" t="s">
        <v>62</v>
      </c>
      <c r="D9" s="2" t="s">
        <v>135</v>
      </c>
      <c r="E9" s="2" t="s">
        <v>136</v>
      </c>
      <c r="F9" s="2" t="s">
        <v>134</v>
      </c>
      <c r="G9" s="2" t="s">
        <v>137</v>
      </c>
      <c r="H9" s="2" t="s">
        <v>138</v>
      </c>
      <c r="I9" s="2" t="s">
        <v>124</v>
      </c>
      <c r="J9" s="5" t="s">
        <v>127</v>
      </c>
    </row>
    <row r="10" spans="1:28" x14ac:dyDescent="0.25">
      <c r="A10" t="s">
        <v>32</v>
      </c>
      <c r="C10" s="4" t="s">
        <v>111</v>
      </c>
      <c r="D10" s="4" t="s">
        <v>111</v>
      </c>
      <c r="E10" s="4" t="s">
        <v>111</v>
      </c>
      <c r="F10" s="4" t="s">
        <v>111</v>
      </c>
      <c r="G10" s="4" t="s">
        <v>111</v>
      </c>
      <c r="H10" s="4" t="s">
        <v>111</v>
      </c>
      <c r="I10" s="4" t="s">
        <v>111</v>
      </c>
      <c r="J10" s="4" t="s">
        <v>111</v>
      </c>
    </row>
    <row r="11" spans="1:28" x14ac:dyDescent="0.25">
      <c r="A11" t="s">
        <v>33</v>
      </c>
      <c r="C11" s="2" t="s">
        <v>134</v>
      </c>
      <c r="D11" s="2" t="s">
        <v>134</v>
      </c>
      <c r="E11" s="2" t="s">
        <v>134</v>
      </c>
      <c r="F11" s="2" t="s">
        <v>134</v>
      </c>
      <c r="G11" s="2" t="s">
        <v>134</v>
      </c>
      <c r="H11" s="4" t="s">
        <v>111</v>
      </c>
      <c r="I11" s="4" t="s">
        <v>111</v>
      </c>
      <c r="J11" s="4" t="s">
        <v>111</v>
      </c>
    </row>
    <row r="12" spans="1:28" x14ac:dyDescent="0.25">
      <c r="A12" t="s">
        <v>34</v>
      </c>
      <c r="C12" s="2" t="s">
        <v>63</v>
      </c>
      <c r="D12" s="2" t="s">
        <v>63</v>
      </c>
      <c r="E12" s="2" t="s">
        <v>63</v>
      </c>
      <c r="F12" s="2" t="s">
        <v>63</v>
      </c>
      <c r="G12" s="2" t="s">
        <v>63</v>
      </c>
      <c r="H12" s="4" t="s">
        <v>111</v>
      </c>
      <c r="I12" s="4" t="s">
        <v>111</v>
      </c>
      <c r="J12" s="4" t="s">
        <v>111</v>
      </c>
    </row>
    <row r="13" spans="1:28" x14ac:dyDescent="0.25">
      <c r="A13" t="s">
        <v>35</v>
      </c>
      <c r="C13" s="2" t="s">
        <v>64</v>
      </c>
      <c r="D13" s="2" t="s">
        <v>64</v>
      </c>
      <c r="E13" s="2" t="s">
        <v>64</v>
      </c>
      <c r="F13" s="2" t="s">
        <v>64</v>
      </c>
      <c r="G13" s="2" t="s">
        <v>64</v>
      </c>
      <c r="H13" s="4" t="s">
        <v>111</v>
      </c>
      <c r="I13" s="4" t="s">
        <v>111</v>
      </c>
      <c r="J13" s="4" t="s">
        <v>111</v>
      </c>
    </row>
    <row r="14" spans="1:28" x14ac:dyDescent="0.25">
      <c r="A14" t="s">
        <v>10</v>
      </c>
      <c r="C14" s="4" t="s">
        <v>111</v>
      </c>
      <c r="D14" s="2" t="s">
        <v>81</v>
      </c>
      <c r="E14" s="4" t="s">
        <v>111</v>
      </c>
      <c r="F14" s="4" t="s">
        <v>111</v>
      </c>
      <c r="G14" s="4" t="s">
        <v>111</v>
      </c>
      <c r="H14" s="4" t="s">
        <v>111</v>
      </c>
      <c r="I14" s="4" t="s">
        <v>111</v>
      </c>
      <c r="J14" s="4" t="s">
        <v>111</v>
      </c>
    </row>
    <row r="15" spans="1:28" x14ac:dyDescent="0.25">
      <c r="A15" t="s">
        <v>1</v>
      </c>
      <c r="C15" s="2" t="s">
        <v>65</v>
      </c>
      <c r="D15" s="2" t="s">
        <v>65</v>
      </c>
      <c r="E15" s="2" t="s">
        <v>65</v>
      </c>
      <c r="F15" s="2" t="s">
        <v>65</v>
      </c>
      <c r="G15" s="2" t="s">
        <v>65</v>
      </c>
      <c r="H15" s="2" t="s">
        <v>65</v>
      </c>
      <c r="I15" s="2" t="s">
        <v>65</v>
      </c>
      <c r="J15" s="2" t="s">
        <v>128</v>
      </c>
    </row>
    <row r="16" spans="1:28" x14ac:dyDescent="0.25">
      <c r="A16" t="s">
        <v>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4" t="s">
        <v>111</v>
      </c>
      <c r="I16" s="4" t="s">
        <v>111</v>
      </c>
      <c r="J16" s="4" t="s">
        <v>111</v>
      </c>
    </row>
    <row r="17" spans="1:10" x14ac:dyDescent="0.25">
      <c r="A17" t="s">
        <v>11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4" t="s">
        <v>111</v>
      </c>
      <c r="I17" s="4" t="s">
        <v>111</v>
      </c>
      <c r="J17" s="4" t="s">
        <v>111</v>
      </c>
    </row>
    <row r="18" spans="1:10" x14ac:dyDescent="0.25">
      <c r="A18" t="s">
        <v>36</v>
      </c>
      <c r="C18" s="2" t="s">
        <v>66</v>
      </c>
      <c r="D18" s="2" t="s">
        <v>66</v>
      </c>
      <c r="E18" s="2" t="s">
        <v>66</v>
      </c>
      <c r="F18" s="2" t="s">
        <v>102</v>
      </c>
      <c r="G18" s="2" t="s">
        <v>102</v>
      </c>
      <c r="H18" s="2" t="s">
        <v>102</v>
      </c>
      <c r="I18" s="2" t="s">
        <v>102</v>
      </c>
      <c r="J18" s="2" t="s">
        <v>102</v>
      </c>
    </row>
    <row r="19" spans="1:10" x14ac:dyDescent="0.25">
      <c r="A19" t="s">
        <v>37</v>
      </c>
      <c r="C19" s="2" t="s">
        <v>67</v>
      </c>
      <c r="D19" s="2" t="s">
        <v>67</v>
      </c>
      <c r="E19" s="2" t="s">
        <v>67</v>
      </c>
      <c r="F19" s="4" t="s">
        <v>111</v>
      </c>
      <c r="G19" s="4" t="s">
        <v>111</v>
      </c>
      <c r="H19" s="4" t="s">
        <v>111</v>
      </c>
      <c r="I19" s="4" t="s">
        <v>111</v>
      </c>
      <c r="J19" s="4" t="s">
        <v>111</v>
      </c>
    </row>
    <row r="20" spans="1:10" x14ac:dyDescent="0.25">
      <c r="A20" t="s">
        <v>38</v>
      </c>
      <c r="C20" s="2" t="s">
        <v>68</v>
      </c>
      <c r="D20" s="2" t="s">
        <v>68</v>
      </c>
      <c r="E20" s="2" t="s">
        <v>68</v>
      </c>
      <c r="F20" s="2" t="s">
        <v>103</v>
      </c>
      <c r="G20" s="2" t="s">
        <v>103</v>
      </c>
      <c r="H20" s="2" t="s">
        <v>103</v>
      </c>
      <c r="I20" s="2" t="s">
        <v>103</v>
      </c>
      <c r="J20" s="2" t="s">
        <v>103</v>
      </c>
    </row>
    <row r="21" spans="1:10" x14ac:dyDescent="0.25">
      <c r="A21" t="s">
        <v>39</v>
      </c>
      <c r="C21" s="2" t="s">
        <v>69</v>
      </c>
      <c r="D21" s="2" t="s">
        <v>8</v>
      </c>
      <c r="E21" s="2" t="s">
        <v>95</v>
      </c>
      <c r="F21" s="2" t="s">
        <v>104</v>
      </c>
      <c r="G21" s="2" t="s">
        <v>113</v>
      </c>
      <c r="H21" s="2" t="s">
        <v>123</v>
      </c>
      <c r="I21" s="5" t="s">
        <v>125</v>
      </c>
      <c r="J21" s="5" t="s">
        <v>125</v>
      </c>
    </row>
    <row r="22" spans="1:10" x14ac:dyDescent="0.25">
      <c r="A22" t="s">
        <v>40</v>
      </c>
      <c r="C22" s="2" t="s">
        <v>0</v>
      </c>
      <c r="D22" s="2" t="s">
        <v>0</v>
      </c>
      <c r="E22" s="2" t="s">
        <v>0</v>
      </c>
      <c r="F22" s="2" t="s">
        <v>105</v>
      </c>
      <c r="G22" s="2" t="s">
        <v>15</v>
      </c>
      <c r="H22" s="4" t="s">
        <v>111</v>
      </c>
      <c r="I22" s="4" t="s">
        <v>111</v>
      </c>
      <c r="J22" s="4" t="s">
        <v>111</v>
      </c>
    </row>
    <row r="23" spans="1:10" x14ac:dyDescent="0.25">
      <c r="A23" t="s">
        <v>41</v>
      </c>
      <c r="C23" s="2" t="s">
        <v>14</v>
      </c>
      <c r="D23" s="2" t="s">
        <v>14</v>
      </c>
      <c r="E23" s="2" t="s">
        <v>14</v>
      </c>
      <c r="F23" s="2" t="s">
        <v>106</v>
      </c>
      <c r="G23" s="2" t="s">
        <v>16</v>
      </c>
      <c r="H23" s="4" t="s">
        <v>111</v>
      </c>
      <c r="I23" s="4" t="s">
        <v>111</v>
      </c>
      <c r="J23" s="4" t="s">
        <v>111</v>
      </c>
    </row>
    <row r="24" spans="1:10" x14ac:dyDescent="0.25">
      <c r="A24" t="s">
        <v>42</v>
      </c>
      <c r="C24" s="2" t="s">
        <v>70</v>
      </c>
      <c r="D24" s="2" t="s">
        <v>70</v>
      </c>
      <c r="E24" s="2" t="s">
        <v>70</v>
      </c>
      <c r="F24" s="4" t="s">
        <v>111</v>
      </c>
      <c r="G24" s="2" t="s">
        <v>114</v>
      </c>
      <c r="H24" s="4" t="s">
        <v>111</v>
      </c>
      <c r="I24" s="4" t="s">
        <v>111</v>
      </c>
      <c r="J24" s="4" t="s">
        <v>111</v>
      </c>
    </row>
    <row r="25" spans="1:10" x14ac:dyDescent="0.25">
      <c r="A25" t="s">
        <v>43</v>
      </c>
      <c r="C25" s="2" t="s">
        <v>71</v>
      </c>
      <c r="D25" s="2" t="s">
        <v>71</v>
      </c>
      <c r="E25" s="2" t="s">
        <v>96</v>
      </c>
      <c r="F25" s="4" t="s">
        <v>111</v>
      </c>
      <c r="G25" s="2" t="s">
        <v>96</v>
      </c>
      <c r="H25" s="4" t="s">
        <v>111</v>
      </c>
      <c r="I25" s="4" t="s">
        <v>111</v>
      </c>
      <c r="J25" s="4" t="s">
        <v>111</v>
      </c>
    </row>
    <row r="26" spans="1:10" x14ac:dyDescent="0.25">
      <c r="A26" t="s">
        <v>44</v>
      </c>
      <c r="C26" s="2" t="s">
        <v>72</v>
      </c>
      <c r="D26" s="2" t="s">
        <v>8</v>
      </c>
      <c r="E26" s="2" t="s">
        <v>95</v>
      </c>
      <c r="F26" s="2" t="s">
        <v>107</v>
      </c>
      <c r="G26" s="2" t="s">
        <v>107</v>
      </c>
      <c r="H26" s="4" t="s">
        <v>111</v>
      </c>
      <c r="I26" s="4" t="s">
        <v>111</v>
      </c>
      <c r="J26" s="4" t="s">
        <v>111</v>
      </c>
    </row>
    <row r="27" spans="1:10" x14ac:dyDescent="0.25">
      <c r="A27" t="s">
        <v>45</v>
      </c>
      <c r="C27" s="2" t="s">
        <v>73</v>
      </c>
      <c r="D27" s="2" t="s">
        <v>9</v>
      </c>
      <c r="E27" s="2" t="s">
        <v>97</v>
      </c>
      <c r="F27" s="2" t="s">
        <v>108</v>
      </c>
      <c r="G27" s="2" t="s">
        <v>108</v>
      </c>
      <c r="H27" s="4" t="s">
        <v>111</v>
      </c>
      <c r="I27" s="4" t="s">
        <v>111</v>
      </c>
      <c r="J27" s="4" t="s">
        <v>111</v>
      </c>
    </row>
    <row r="28" spans="1:10" x14ac:dyDescent="0.25">
      <c r="A28" t="s">
        <v>46</v>
      </c>
      <c r="C28" s="2">
        <v>0</v>
      </c>
      <c r="D28" s="2">
        <v>0</v>
      </c>
      <c r="E28" s="2">
        <v>0</v>
      </c>
      <c r="F28" s="2" t="s">
        <v>13</v>
      </c>
      <c r="G28" s="2" t="s">
        <v>13</v>
      </c>
      <c r="H28" s="4" t="s">
        <v>111</v>
      </c>
      <c r="I28" s="4" t="s">
        <v>111</v>
      </c>
      <c r="J28" s="4" t="s">
        <v>111</v>
      </c>
    </row>
    <row r="29" spans="1:10" x14ac:dyDescent="0.25">
      <c r="A29" t="s">
        <v>47</v>
      </c>
      <c r="C29" s="2" t="s">
        <v>18</v>
      </c>
      <c r="D29" s="2" t="s">
        <v>18</v>
      </c>
      <c r="E29" s="2" t="s">
        <v>18</v>
      </c>
      <c r="F29" s="2" t="s">
        <v>19</v>
      </c>
      <c r="G29" s="2" t="s">
        <v>19</v>
      </c>
      <c r="H29" s="4" t="s">
        <v>111</v>
      </c>
      <c r="I29" s="4" t="s">
        <v>111</v>
      </c>
      <c r="J29" s="4" t="s">
        <v>111</v>
      </c>
    </row>
    <row r="30" spans="1:10" x14ac:dyDescent="0.25">
      <c r="A30" t="s">
        <v>48</v>
      </c>
      <c r="C30" s="4" t="s">
        <v>111</v>
      </c>
      <c r="D30" s="4" t="s">
        <v>111</v>
      </c>
      <c r="E30" s="4" t="s">
        <v>111</v>
      </c>
      <c r="F30" s="4" t="s">
        <v>111</v>
      </c>
      <c r="G30" s="4" t="s">
        <v>111</v>
      </c>
      <c r="H30" s="4" t="s">
        <v>111</v>
      </c>
      <c r="I30" s="4" t="s">
        <v>111</v>
      </c>
      <c r="J30" s="4" t="s">
        <v>111</v>
      </c>
    </row>
    <row r="31" spans="1:10" x14ac:dyDescent="0.25">
      <c r="A31" t="s">
        <v>49</v>
      </c>
      <c r="C31" s="4" t="s">
        <v>111</v>
      </c>
      <c r="D31" s="4" t="s">
        <v>111</v>
      </c>
      <c r="E31" s="4" t="s">
        <v>111</v>
      </c>
      <c r="F31" s="4" t="s">
        <v>111</v>
      </c>
      <c r="G31" s="4" t="s">
        <v>111</v>
      </c>
      <c r="H31" s="4" t="s">
        <v>111</v>
      </c>
      <c r="I31" s="4" t="s">
        <v>111</v>
      </c>
      <c r="J31" s="4" t="s">
        <v>111</v>
      </c>
    </row>
    <row r="32" spans="1:10" x14ac:dyDescent="0.25">
      <c r="A32" t="s">
        <v>50</v>
      </c>
      <c r="C32" s="2" t="s">
        <v>74</v>
      </c>
      <c r="D32" s="2" t="s">
        <v>74</v>
      </c>
      <c r="E32" s="2" t="s">
        <v>74</v>
      </c>
      <c r="F32" s="2" t="s">
        <v>74</v>
      </c>
      <c r="G32" s="2" t="s">
        <v>115</v>
      </c>
      <c r="H32" s="4" t="s">
        <v>111</v>
      </c>
      <c r="I32" s="4" t="s">
        <v>111</v>
      </c>
      <c r="J32" s="4" t="s">
        <v>111</v>
      </c>
    </row>
    <row r="33" spans="1:10" x14ac:dyDescent="0.25">
      <c r="A33" t="s">
        <v>51</v>
      </c>
      <c r="C33" s="2" t="s">
        <v>75</v>
      </c>
      <c r="D33" s="2" t="s">
        <v>75</v>
      </c>
      <c r="E33" s="2" t="s">
        <v>75</v>
      </c>
      <c r="F33" s="2" t="s">
        <v>75</v>
      </c>
      <c r="G33" s="2" t="s">
        <v>116</v>
      </c>
      <c r="H33" s="4" t="s">
        <v>111</v>
      </c>
      <c r="I33" s="4" t="s">
        <v>111</v>
      </c>
      <c r="J33" s="4" t="s">
        <v>111</v>
      </c>
    </row>
    <row r="34" spans="1:10" x14ac:dyDescent="0.25">
      <c r="A34" t="s">
        <v>52</v>
      </c>
      <c r="C34" s="2" t="s">
        <v>80</v>
      </c>
      <c r="D34" s="2" t="s">
        <v>80</v>
      </c>
      <c r="E34" s="2" t="s">
        <v>80</v>
      </c>
      <c r="F34" s="2" t="s">
        <v>80</v>
      </c>
      <c r="G34" s="2">
        <v>15788</v>
      </c>
      <c r="H34" s="4" t="s">
        <v>111</v>
      </c>
      <c r="I34" s="4" t="s">
        <v>111</v>
      </c>
      <c r="J34" s="4" t="s">
        <v>111</v>
      </c>
    </row>
    <row r="35" spans="1:10" x14ac:dyDescent="0.25">
      <c r="A35" t="s">
        <v>53</v>
      </c>
      <c r="C35" s="2" t="s">
        <v>75</v>
      </c>
      <c r="D35" s="2" t="s">
        <v>75</v>
      </c>
      <c r="E35" s="2" t="s">
        <v>75</v>
      </c>
      <c r="F35" s="2" t="s">
        <v>75</v>
      </c>
      <c r="G35" s="2" t="s">
        <v>116</v>
      </c>
      <c r="H35" s="4" t="s">
        <v>111</v>
      </c>
      <c r="I35" s="4" t="s">
        <v>111</v>
      </c>
      <c r="J35" s="4" t="s">
        <v>111</v>
      </c>
    </row>
    <row r="36" spans="1:10" x14ac:dyDescent="0.25">
      <c r="A36" t="s">
        <v>54</v>
      </c>
      <c r="C36" s="2" t="s">
        <v>75</v>
      </c>
      <c r="D36" s="2" t="s">
        <v>75</v>
      </c>
      <c r="E36" s="2" t="s">
        <v>75</v>
      </c>
      <c r="F36" s="2" t="s">
        <v>75</v>
      </c>
      <c r="G36" s="2" t="s">
        <v>116</v>
      </c>
      <c r="H36" s="4" t="s">
        <v>111</v>
      </c>
      <c r="I36" s="4" t="s">
        <v>111</v>
      </c>
      <c r="J36" s="4" t="s">
        <v>111</v>
      </c>
    </row>
    <row r="37" spans="1:10" x14ac:dyDescent="0.25">
      <c r="A37" t="s">
        <v>55</v>
      </c>
      <c r="C37" s="2" t="s">
        <v>76</v>
      </c>
      <c r="D37" s="2" t="s">
        <v>76</v>
      </c>
      <c r="E37" s="2" t="s">
        <v>76</v>
      </c>
      <c r="F37" s="2" t="s">
        <v>76</v>
      </c>
      <c r="G37" s="2" t="s">
        <v>117</v>
      </c>
      <c r="H37" s="4" t="s">
        <v>111</v>
      </c>
      <c r="I37" s="4" t="s">
        <v>111</v>
      </c>
      <c r="J37" s="4" t="s">
        <v>111</v>
      </c>
    </row>
    <row r="38" spans="1:10" x14ac:dyDescent="0.25">
      <c r="A38" t="s">
        <v>56</v>
      </c>
      <c r="C38" s="2" t="s">
        <v>77</v>
      </c>
      <c r="D38" s="2" t="s">
        <v>77</v>
      </c>
      <c r="E38" s="2" t="s">
        <v>77</v>
      </c>
      <c r="F38" s="2" t="s">
        <v>77</v>
      </c>
      <c r="G38" s="2" t="s">
        <v>118</v>
      </c>
      <c r="H38" s="4" t="s">
        <v>111</v>
      </c>
      <c r="I38" s="4" t="s">
        <v>111</v>
      </c>
      <c r="J38" s="4" t="s">
        <v>111</v>
      </c>
    </row>
    <row r="39" spans="1:10" x14ac:dyDescent="0.25">
      <c r="A39" t="s">
        <v>57</v>
      </c>
      <c r="C39" s="4" t="s">
        <v>111</v>
      </c>
      <c r="D39" s="4" t="s">
        <v>111</v>
      </c>
      <c r="E39" s="4" t="s">
        <v>111</v>
      </c>
      <c r="F39" s="4" t="s">
        <v>111</v>
      </c>
      <c r="G39" s="4" t="s">
        <v>111</v>
      </c>
      <c r="H39" s="4" t="s">
        <v>111</v>
      </c>
      <c r="I39" s="4" t="s">
        <v>111</v>
      </c>
      <c r="J39" s="4" t="s">
        <v>111</v>
      </c>
    </row>
    <row r="40" spans="1:10" x14ac:dyDescent="0.25">
      <c r="A40" t="s">
        <v>58</v>
      </c>
      <c r="C40" s="2" t="s">
        <v>78</v>
      </c>
      <c r="D40" s="2" t="s">
        <v>78</v>
      </c>
      <c r="E40" s="2" t="s">
        <v>78</v>
      </c>
      <c r="F40" s="2" t="s">
        <v>78</v>
      </c>
      <c r="G40" s="2" t="s">
        <v>78</v>
      </c>
      <c r="H40" s="4" t="s">
        <v>111</v>
      </c>
      <c r="I40" s="4" t="s">
        <v>111</v>
      </c>
      <c r="J40" s="4" t="s">
        <v>111</v>
      </c>
    </row>
    <row r="41" spans="1:10" x14ac:dyDescent="0.25">
      <c r="A41" t="s">
        <v>59</v>
      </c>
      <c r="C41" s="2" t="s">
        <v>94</v>
      </c>
      <c r="D41" s="2" t="s">
        <v>82</v>
      </c>
      <c r="E41" s="2" t="s">
        <v>98</v>
      </c>
      <c r="F41" s="2" t="s">
        <v>109</v>
      </c>
      <c r="G41" s="2" t="s">
        <v>119</v>
      </c>
      <c r="H41" s="4" t="s">
        <v>111</v>
      </c>
      <c r="I41" s="4" t="s">
        <v>111</v>
      </c>
      <c r="J41" s="4" t="s">
        <v>111</v>
      </c>
    </row>
    <row r="42" spans="1:10" x14ac:dyDescent="0.25">
      <c r="A42" t="s">
        <v>60</v>
      </c>
      <c r="C42" s="4" t="s">
        <v>111</v>
      </c>
      <c r="D42" s="4" t="s">
        <v>111</v>
      </c>
      <c r="E42" s="2" t="s">
        <v>98</v>
      </c>
      <c r="F42" s="2" t="s">
        <v>110</v>
      </c>
      <c r="G42" s="2" t="s">
        <v>120</v>
      </c>
      <c r="H42" s="4" t="s">
        <v>111</v>
      </c>
      <c r="I42" s="4" t="s">
        <v>111</v>
      </c>
      <c r="J42" s="4" t="s">
        <v>111</v>
      </c>
    </row>
    <row r="43" spans="1:10" x14ac:dyDescent="0.25">
      <c r="A43" t="s">
        <v>61</v>
      </c>
      <c r="C43" s="4" t="s">
        <v>111</v>
      </c>
      <c r="D43" s="2" t="s">
        <v>83</v>
      </c>
      <c r="E43" s="4" t="s">
        <v>111</v>
      </c>
      <c r="F43" s="4" t="s">
        <v>111</v>
      </c>
      <c r="G43" s="4" t="s">
        <v>111</v>
      </c>
      <c r="H43" s="4" t="s">
        <v>111</v>
      </c>
      <c r="I43" s="4" t="s">
        <v>111</v>
      </c>
      <c r="J43" s="4" t="s">
        <v>111</v>
      </c>
    </row>
    <row r="44" spans="1:10" x14ac:dyDescent="0.25">
      <c r="A44" t="s">
        <v>86</v>
      </c>
      <c r="C44" s="4" t="s">
        <v>111</v>
      </c>
      <c r="D44" s="2" t="s">
        <v>17</v>
      </c>
      <c r="E44" s="4" t="s">
        <v>111</v>
      </c>
      <c r="F44" s="4" t="s">
        <v>111</v>
      </c>
      <c r="G44" s="4" t="s">
        <v>111</v>
      </c>
      <c r="H44" s="4" t="s">
        <v>111</v>
      </c>
      <c r="I44" s="4" t="s">
        <v>111</v>
      </c>
      <c r="J44" s="4" t="s">
        <v>111</v>
      </c>
    </row>
    <row r="45" spans="1:10" x14ac:dyDescent="0.25">
      <c r="A45" t="s">
        <v>85</v>
      </c>
      <c r="C45" s="4" t="s">
        <v>111</v>
      </c>
      <c r="D45" s="2" t="s">
        <v>84</v>
      </c>
      <c r="E45" s="4" t="s">
        <v>111</v>
      </c>
      <c r="F45" s="4" t="s">
        <v>111</v>
      </c>
      <c r="G45" s="4" t="s">
        <v>111</v>
      </c>
      <c r="H45" s="4" t="s">
        <v>111</v>
      </c>
      <c r="I45" s="4" t="s">
        <v>111</v>
      </c>
      <c r="J45" s="4" t="s">
        <v>111</v>
      </c>
    </row>
    <row r="46" spans="1:10" x14ac:dyDescent="0.25">
      <c r="A46" t="s">
        <v>25</v>
      </c>
      <c r="C46" s="4" t="s">
        <v>111</v>
      </c>
      <c r="D46" s="2" t="s">
        <v>17</v>
      </c>
      <c r="E46" s="4" t="s">
        <v>111</v>
      </c>
      <c r="F46" s="4" t="s">
        <v>111</v>
      </c>
      <c r="G46" s="4" t="s">
        <v>111</v>
      </c>
      <c r="H46" s="4" t="s">
        <v>111</v>
      </c>
      <c r="I46" s="4" t="s">
        <v>111</v>
      </c>
      <c r="J46" s="4" t="s">
        <v>111</v>
      </c>
    </row>
    <row r="47" spans="1:10" x14ac:dyDescent="0.25">
      <c r="A47" t="s">
        <v>26</v>
      </c>
      <c r="C47" s="4" t="s">
        <v>111</v>
      </c>
      <c r="D47" s="2" t="s">
        <v>87</v>
      </c>
      <c r="E47" s="4" t="s">
        <v>111</v>
      </c>
      <c r="F47" s="4" t="s">
        <v>111</v>
      </c>
      <c r="G47" s="4" t="s">
        <v>111</v>
      </c>
      <c r="H47" s="4" t="s">
        <v>111</v>
      </c>
      <c r="I47" s="4" t="s">
        <v>111</v>
      </c>
      <c r="J47" s="4" t="s">
        <v>111</v>
      </c>
    </row>
    <row r="48" spans="1:10" x14ac:dyDescent="0.25">
      <c r="A48" t="s">
        <v>7</v>
      </c>
      <c r="C48" s="2" t="s">
        <v>88</v>
      </c>
      <c r="D48" s="2" t="s">
        <v>88</v>
      </c>
      <c r="E48" s="2" t="s">
        <v>88</v>
      </c>
      <c r="F48" s="2" t="s">
        <v>88</v>
      </c>
      <c r="G48" s="2" t="s">
        <v>88</v>
      </c>
      <c r="H48" s="2" t="s">
        <v>88</v>
      </c>
      <c r="I48" s="2" t="s">
        <v>88</v>
      </c>
      <c r="J48" s="2" t="s">
        <v>129</v>
      </c>
    </row>
    <row r="49" spans="1:10" x14ac:dyDescent="0.25">
      <c r="A49" t="s">
        <v>27</v>
      </c>
      <c r="D49" s="2" t="s">
        <v>89</v>
      </c>
      <c r="E49" s="2" t="s">
        <v>89</v>
      </c>
      <c r="F49" s="2" t="s">
        <v>89</v>
      </c>
      <c r="G49" s="2" t="s">
        <v>89</v>
      </c>
      <c r="H49" s="2" t="s">
        <v>89</v>
      </c>
      <c r="I49" s="2" t="s">
        <v>89</v>
      </c>
      <c r="J49" s="2" t="s">
        <v>130</v>
      </c>
    </row>
    <row r="50" spans="1:10" x14ac:dyDescent="0.25">
      <c r="A50" t="s">
        <v>28</v>
      </c>
      <c r="C50" s="2" t="s">
        <v>90</v>
      </c>
      <c r="D50" s="2" t="s">
        <v>90</v>
      </c>
      <c r="E50" s="2" t="s">
        <v>90</v>
      </c>
      <c r="F50" s="2" t="s">
        <v>90</v>
      </c>
      <c r="G50" s="2" t="s">
        <v>90</v>
      </c>
      <c r="H50" s="2" t="s">
        <v>90</v>
      </c>
      <c r="I50" s="2" t="s">
        <v>90</v>
      </c>
      <c r="J50" s="2" t="s">
        <v>90</v>
      </c>
    </row>
    <row r="51" spans="1:10" x14ac:dyDescent="0.25">
      <c r="A51" t="s">
        <v>29</v>
      </c>
      <c r="C51" s="2" t="s">
        <v>91</v>
      </c>
      <c r="D51" s="2" t="s">
        <v>91</v>
      </c>
      <c r="E51" s="2" t="s">
        <v>91</v>
      </c>
      <c r="F51" s="2" t="s">
        <v>91</v>
      </c>
      <c r="G51" s="2" t="s">
        <v>91</v>
      </c>
      <c r="H51" s="2" t="s">
        <v>91</v>
      </c>
      <c r="I51" s="2" t="s">
        <v>91</v>
      </c>
      <c r="J51" s="2" t="s">
        <v>91</v>
      </c>
    </row>
    <row r="52" spans="1:10" x14ac:dyDescent="0.25">
      <c r="A52" t="s">
        <v>30</v>
      </c>
      <c r="C52" s="2" t="s">
        <v>92</v>
      </c>
      <c r="D52" s="2" t="s">
        <v>92</v>
      </c>
      <c r="E52" s="2" t="s">
        <v>92</v>
      </c>
      <c r="F52" s="2" t="s">
        <v>92</v>
      </c>
      <c r="G52" s="2" t="s">
        <v>92</v>
      </c>
      <c r="H52" s="2" t="s">
        <v>92</v>
      </c>
      <c r="I52" s="2" t="s">
        <v>92</v>
      </c>
      <c r="J52" s="2" t="s">
        <v>92</v>
      </c>
    </row>
    <row r="53" spans="1:10" x14ac:dyDescent="0.25">
      <c r="A53" t="s">
        <v>31</v>
      </c>
      <c r="C53" s="2" t="s">
        <v>93</v>
      </c>
      <c r="D53" s="2" t="s">
        <v>93</v>
      </c>
      <c r="E53" s="2" t="s">
        <v>93</v>
      </c>
      <c r="F53" s="2" t="s">
        <v>93</v>
      </c>
      <c r="G53" s="2" t="s">
        <v>93</v>
      </c>
      <c r="H53" s="2" t="s">
        <v>93</v>
      </c>
      <c r="I53" s="2" t="s">
        <v>93</v>
      </c>
      <c r="J53" s="2" t="s">
        <v>131</v>
      </c>
    </row>
    <row r="54" spans="1:10" x14ac:dyDescent="0.25">
      <c r="G54" s="2"/>
    </row>
  </sheetData>
  <pageMargins left="0.25" right="0.25" top="0.75" bottom="0.75" header="0.3" footer="0.3"/>
  <pageSetup scale="42" orientation="landscape" r:id="rId1"/>
  <ignoredErrors>
    <ignoredError sqref="D43:D47 C34 D34:G34 G38 H2:H3 F3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FMS_data DE-I</vt:lpstr>
      <vt:lpstr>'FMS_data DE-I'!Print_Area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cp:lastPrinted>2025-05-08T19:20:13Z</cp:lastPrinted>
  <dcterms:created xsi:type="dcterms:W3CDTF">2024-12-20T15:22:22Z</dcterms:created>
  <dcterms:modified xsi:type="dcterms:W3CDTF">2025-05-14T20:43:57Z</dcterms:modified>
</cp:coreProperties>
</file>