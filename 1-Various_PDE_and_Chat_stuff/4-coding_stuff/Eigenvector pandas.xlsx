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les.levine\Dropbox\1-Documents\00- Dissertation\0-Next_Chapter\2-Way_Ahead\PDE and AI collaboration\"/>
    </mc:Choice>
  </mc:AlternateContent>
  <xr:revisionPtr revIDLastSave="0" documentId="13_ncr:1_{5DCE4CC3-8240-4352-B60A-836BC1A9B8D3}" xr6:coauthVersionLast="47" xr6:coauthVersionMax="47" xr10:uidLastSave="{00000000-0000-0000-0000-000000000000}"/>
  <bookViews>
    <workbookView xWindow="1065" yWindow="-15405" windowWidth="23370" windowHeight="13035" activeTab="2" xr2:uid="{7FB9CA2C-6A68-3648-9F60-15CCA4C6414A}"/>
  </bookViews>
  <sheets>
    <sheet name="Sheet1" sheetId="1" r:id="rId1"/>
    <sheet name="lkup_fms" sheetId="3" r:id="rId2"/>
    <sheet name="FMS_data" sheetId="4" r:id="rId3"/>
    <sheet name="FMS_data DE-I" sheetId="6" r:id="rId4"/>
    <sheet name="Sheet3" sheetId="5" r:id="rId5"/>
  </sheets>
  <definedNames>
    <definedName name="_xlnm.Print_Area" localSheetId="2">FMS_data!$A$1:$J$53</definedName>
    <definedName name="_xlnm.Print_Area" localSheetId="3">'FMS_data DE-I'!$A$1:$J$53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6" i="6" l="1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I6" i="6"/>
  <c r="H6" i="6"/>
  <c r="G6" i="6"/>
  <c r="F6" i="6"/>
  <c r="E6" i="6"/>
  <c r="D6" i="6"/>
  <c r="C6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I5" i="6"/>
  <c r="H5" i="6"/>
  <c r="G5" i="6"/>
  <c r="F5" i="6"/>
  <c r="E5" i="6"/>
  <c r="D5" i="6"/>
  <c r="C5" i="6"/>
  <c r="H5" i="4"/>
  <c r="I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H6" i="4"/>
  <c r="I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G5" i="4"/>
  <c r="G6" i="4"/>
  <c r="D5" i="4"/>
  <c r="E5" i="4"/>
  <c r="F5" i="4"/>
  <c r="D6" i="4"/>
  <c r="E6" i="4"/>
  <c r="F6" i="4"/>
  <c r="C6" i="4"/>
  <c r="C5" i="4"/>
</calcChain>
</file>

<file path=xl/sharedStrings.xml><?xml version="1.0" encoding="utf-8"?>
<sst xmlns="http://schemas.openxmlformats.org/spreadsheetml/2006/main" count="1078" uniqueCount="254">
  <si>
    <t>CPT</t>
  </si>
  <si>
    <t>O03</t>
  </si>
  <si>
    <t>A</t>
  </si>
  <si>
    <t>R</t>
  </si>
  <si>
    <t>20018-06-30</t>
  </si>
  <si>
    <t>PDEEHFM13ICT</t>
  </si>
  <si>
    <t>STUDY_TALENT_NET.MV_FOUO_UZ_MASTER_AD_ARMY_V3A</t>
  </si>
  <si>
    <t>STUDY_TALENT_NET.MV_MASTER_AD_ARMY_QTR_V3A</t>
  </si>
  <si>
    <t>W1FHA0</t>
  </si>
  <si>
    <t>pid_pde</t>
  </si>
  <si>
    <t>snpsht_dt</t>
  </si>
  <si>
    <t>rank_pde</t>
  </si>
  <si>
    <t>paygrade_pde</t>
  </si>
  <si>
    <t>service</t>
  </si>
  <si>
    <t>compo</t>
  </si>
  <si>
    <t>asg_uic_pde</t>
  </si>
  <si>
    <t>dty_uic_pde</t>
  </si>
  <si>
    <t>asg_uic</t>
  </si>
  <si>
    <t>dty_uic</t>
  </si>
  <si>
    <t>PDE_LOOKUP.LKUP_FMS_UIC_HIERARCHY_FY2018</t>
  </si>
  <si>
    <t>uic_pde</t>
  </si>
  <si>
    <t>uic_grp</t>
  </si>
  <si>
    <t>superior_uic_pde</t>
  </si>
  <si>
    <t>KHZKJH3WEL</t>
  </si>
  <si>
    <t>TOE_ACTIVE_ARMY</t>
  </si>
  <si>
    <t>KHZKJHFZ0O</t>
  </si>
  <si>
    <t>date_fy</t>
  </si>
  <si>
    <t>PDEE623DHFY8</t>
  </si>
  <si>
    <t>2008-09-30</t>
  </si>
  <si>
    <t>battalion</t>
  </si>
  <si>
    <t>brigade</t>
  </si>
  <si>
    <t>division</t>
  </si>
  <si>
    <t>3,4,5,6</t>
  </si>
  <si>
    <t>df_lkup_fms_unit_level_cd</t>
  </si>
  <si>
    <t>unit_lelevl_cd</t>
  </si>
  <si>
    <t>unit_level_cd_enu</t>
  </si>
  <si>
    <t>BN</t>
  </si>
  <si>
    <t>Battalion</t>
  </si>
  <si>
    <t>df_lkup_fms_brnch</t>
  </si>
  <si>
    <t>brnch</t>
  </si>
  <si>
    <t>brnch_enu</t>
  </si>
  <si>
    <t>t_code</t>
  </si>
  <si>
    <t>date_effective</t>
  </si>
  <si>
    <t>IN</t>
  </si>
  <si>
    <t>INFANTRY</t>
  </si>
  <si>
    <t>P</t>
  </si>
  <si>
    <t>1990-07-05</t>
  </si>
  <si>
    <t>AR</t>
  </si>
  <si>
    <t>ARMOR</t>
  </si>
  <si>
    <t>None</t>
  </si>
  <si>
    <t>NaT</t>
  </si>
  <si>
    <t>df_lkup_fms_compo</t>
  </si>
  <si>
    <t>compo_enu</t>
  </si>
  <si>
    <t>Active Army</t>
  </si>
  <si>
    <t>U.S. Army Reserve</t>
  </si>
  <si>
    <t>Army National Guard</t>
  </si>
  <si>
    <t>df_lkup_fms_mpc_sqi</t>
  </si>
  <si>
    <t>mpc</t>
  </si>
  <si>
    <t>sqi</t>
  </si>
  <si>
    <t>sqi_enu</t>
  </si>
  <si>
    <t>ident</t>
  </si>
  <si>
    <t>E</t>
  </si>
  <si>
    <t>PARACHUTISIT</t>
  </si>
  <si>
    <t>B</t>
  </si>
  <si>
    <t>V</t>
  </si>
  <si>
    <t>RANGER PARACHUTIST</t>
  </si>
  <si>
    <t>I</t>
  </si>
  <si>
    <t>J</t>
  </si>
  <si>
    <t>SCUBA</t>
  </si>
  <si>
    <t>df_lkup_fms_src2</t>
  </si>
  <si>
    <t>src2</t>
  </si>
  <si>
    <t>src2_enu</t>
  </si>
  <si>
    <t>type</t>
  </si>
  <si>
    <t>ENGINEER</t>
  </si>
  <si>
    <t>MNVR_SPT</t>
  </si>
  <si>
    <t>05</t>
  </si>
  <si>
    <t>07</t>
  </si>
  <si>
    <t>MNVR</t>
  </si>
  <si>
    <t>10</t>
  </si>
  <si>
    <t>QUARTERMASTER</t>
  </si>
  <si>
    <t>SUST</t>
  </si>
  <si>
    <t>df_lkup_fms_unit_descriptor_enu</t>
  </si>
  <si>
    <t>unit_descriptor_cd</t>
  </si>
  <si>
    <t>C</t>
  </si>
  <si>
    <t>Regular - Active - Combat</t>
  </si>
  <si>
    <t>Regular - Planned - Combat</t>
  </si>
  <si>
    <t>Regular - Inactive - Combat</t>
  </si>
  <si>
    <t>D</t>
  </si>
  <si>
    <t>Regular - Active - Combat Service</t>
  </si>
  <si>
    <t>df_lkup_fms_unit_type_cd</t>
  </si>
  <si>
    <t>unit_type_cd</t>
  </si>
  <si>
    <t>unit_type_enu</t>
  </si>
  <si>
    <t>H</t>
  </si>
  <si>
    <t>Maintenance</t>
  </si>
  <si>
    <t>Supply</t>
  </si>
  <si>
    <t>0</t>
  </si>
  <si>
    <t>Infantry</t>
  </si>
  <si>
    <t>Secretary, Agency, or Major Command</t>
  </si>
  <si>
    <t>unalignable boolean Series provided as indexer (index of the boolean Series and of the indexed object do not match)</t>
  </si>
  <si>
    <t>DF_HIER_MASTER</t>
  </si>
  <si>
    <t>hierarchy_depth</t>
  </si>
  <si>
    <t>row_num</t>
  </si>
  <si>
    <t>parent_segment_uic_pde</t>
  </si>
  <si>
    <t>child_segment_uic_pde</t>
  </si>
  <si>
    <t>id</t>
  </si>
  <si>
    <t>auth_civilian</t>
  </si>
  <si>
    <t>auth_total</t>
  </si>
  <si>
    <t>date_file</t>
  </si>
  <si>
    <t>type_file</t>
  </si>
  <si>
    <t>source_project</t>
  </si>
  <si>
    <t>source_file</t>
  </si>
  <si>
    <t>source_table</t>
  </si>
  <si>
    <t>superior_id</t>
  </si>
  <si>
    <t>majcom_uic_pde</t>
  </si>
  <si>
    <t>majcom_assigned</t>
  </si>
  <si>
    <t>majcom_assigned_enu</t>
  </si>
  <si>
    <t>utcat</t>
  </si>
  <si>
    <t>utarmycat</t>
  </si>
  <si>
    <t>catcode</t>
  </si>
  <si>
    <t>unit_class</t>
  </si>
  <si>
    <t>udc_unit_descriptor_cd</t>
  </si>
  <si>
    <t>udc_unit_descriptor_enu</t>
  </si>
  <si>
    <t>tpsn5_troop_program_seq_grp</t>
  </si>
  <si>
    <t>elseq_element_sequence_grp</t>
  </si>
  <si>
    <t>ulc_unit_level_cd</t>
  </si>
  <si>
    <t>ulc_unit_level_enu</t>
  </si>
  <si>
    <t>utc_unit_type_cd</t>
  </si>
  <si>
    <t>utc_unit_type_enu</t>
  </si>
  <si>
    <t>fuac_functional_area_cd</t>
  </si>
  <si>
    <t>fuac_functional_area_cd_enu</t>
  </si>
  <si>
    <t>name_geolocation</t>
  </si>
  <si>
    <t>hogeo_geolocation_home</t>
  </si>
  <si>
    <t>arloc_home</t>
  </si>
  <si>
    <t>arloc_present</t>
  </si>
  <si>
    <t>prgeo_geolocation_present</t>
  </si>
  <si>
    <t>areax_locco_cd</t>
  </si>
  <si>
    <t>zip_present_loc_pde</t>
  </si>
  <si>
    <t>apo_present_loc_pde</t>
  </si>
  <si>
    <t>sclas_unit_classifiction</t>
  </si>
  <si>
    <t>date_unit_organized</t>
  </si>
  <si>
    <t>date_unit_organized_proposed</t>
  </si>
  <si>
    <t>auth_officer</t>
  </si>
  <si>
    <t>OD0ZYU3GR8</t>
  </si>
  <si>
    <t>OD0ZYUFZ0O</t>
  </si>
  <si>
    <t>OLL28Z5UHX</t>
  </si>
  <si>
    <t>P1</t>
  </si>
  <si>
    <t>USARPAC</t>
  </si>
  <si>
    <t>ARMY</t>
  </si>
  <si>
    <t>COMBAT</t>
  </si>
  <si>
    <t>INF</t>
  </si>
  <si>
    <t>UNIT</t>
  </si>
  <si>
    <t>CO</t>
  </si>
  <si>
    <t>INFANTRY BDE</t>
  </si>
  <si>
    <t>ORGANIC UNIT</t>
  </si>
  <si>
    <t>HHC</t>
  </si>
  <si>
    <t>HQ and HQ Company</t>
  </si>
  <si>
    <t>JB ELMENDORF-RICH</t>
  </si>
  <si>
    <t>FXSB</t>
  </si>
  <si>
    <t>AK</t>
  </si>
  <si>
    <t>9950X</t>
  </si>
  <si>
    <t>UNCLASSIFIED</t>
  </si>
  <si>
    <t>HHC 1-501, 4-25 ABN</t>
  </si>
  <si>
    <t>1-501</t>
  </si>
  <si>
    <t>7ZN4775UHX</t>
  </si>
  <si>
    <t>02265</t>
  </si>
  <si>
    <t>2018-08-16 00:00:00</t>
  </si>
  <si>
    <t>1986-07-15 00:00:00</t>
  </si>
  <si>
    <t>42</t>
  </si>
  <si>
    <t>599</t>
  </si>
  <si>
    <t>auth_enlisted</t>
  </si>
  <si>
    <t>auth_warrant</t>
  </si>
  <si>
    <t>641</t>
  </si>
  <si>
    <t>2018-09-30 00:00:00</t>
  </si>
  <si>
    <t>2021-05-17 00:00:00</t>
  </si>
  <si>
    <t>TRANSACT</t>
  </si>
  <si>
    <t>FMS_WEB_LOOKUP_ACCOUNT</t>
  </si>
  <si>
    <t>FMS_WEB</t>
  </si>
  <si>
    <t>LKUP_FMS_UIC_HIERARCHY_FY2019</t>
  </si>
  <si>
    <t>1986-11-16 00:00:00</t>
  </si>
  <si>
    <t>SSK8B15UHX</t>
  </si>
  <si>
    <t>BDE</t>
  </si>
  <si>
    <t>HQ</t>
  </si>
  <si>
    <t>Brigade</t>
  </si>
  <si>
    <t>2005-09-16 00:00:00</t>
  </si>
  <si>
    <t>4-25 ?</t>
  </si>
  <si>
    <t>USARAK?</t>
  </si>
  <si>
    <t>8</t>
  </si>
  <si>
    <t>TDA_ACTIVE_ARMY</t>
  </si>
  <si>
    <t>MILSVC</t>
  </si>
  <si>
    <t>EXCMIL</t>
  </si>
  <si>
    <t>MSC</t>
  </si>
  <si>
    <t>X</t>
  </si>
  <si>
    <t>Regular - Active - Other</t>
  </si>
  <si>
    <t>CMD</t>
  </si>
  <si>
    <t>Command</t>
  </si>
  <si>
    <t>1997-05-14 00:00:00</t>
  </si>
  <si>
    <t>1997-04-17 00:00:00</t>
  </si>
  <si>
    <t>Null</t>
  </si>
  <si>
    <t>PACOM?</t>
  </si>
  <si>
    <t>WYGX4P5UHX</t>
  </si>
  <si>
    <t>MC</t>
  </si>
  <si>
    <t>C0</t>
  </si>
  <si>
    <t>ARMY SERVICE COMPONENT CMD</t>
  </si>
  <si>
    <t>FT SHAFTER</t>
  </si>
  <si>
    <t>HKJN</t>
  </si>
  <si>
    <t>HI</t>
  </si>
  <si>
    <t>96858</t>
  </si>
  <si>
    <t>2008-07-15 00:00:00</t>
  </si>
  <si>
    <t>2008-03-18 00:00:00</t>
  </si>
  <si>
    <t>439</t>
  </si>
  <si>
    <t>6</t>
  </si>
  <si>
    <t>FORCE</t>
  </si>
  <si>
    <t>9FTO405UHX</t>
  </si>
  <si>
    <t>DOD</t>
  </si>
  <si>
    <t>DEPT</t>
  </si>
  <si>
    <t>FORSCOM?</t>
  </si>
  <si>
    <t>EXEC_BR</t>
  </si>
  <si>
    <t>JOINT</t>
  </si>
  <si>
    <t>2018-09-30 00:00:01</t>
  </si>
  <si>
    <t>2021-05-17 00:00:01</t>
  </si>
  <si>
    <t>LKUP_FMS_UIC_HIERARCHY_FY2020</t>
  </si>
  <si>
    <t>3GR8</t>
  </si>
  <si>
    <t>T0</t>
  </si>
  <si>
    <t>NVBT</t>
  </si>
  <si>
    <t>A0</t>
  </si>
  <si>
    <t>6TBL</t>
  </si>
  <si>
    <t>3WEL</t>
  </si>
  <si>
    <t>MWCD</t>
  </si>
  <si>
    <t>B0</t>
  </si>
  <si>
    <t>D0</t>
  </si>
  <si>
    <t>unit_descriptor_enu</t>
  </si>
  <si>
    <t>HHC 2-502</t>
  </si>
  <si>
    <t>3194</t>
  </si>
  <si>
    <t>12</t>
  </si>
  <si>
    <t>Z1L47Z3GR8</t>
  </si>
  <si>
    <t>Z1L47ZFZ0O</t>
  </si>
  <si>
    <t>2NC33P5UHX</t>
  </si>
  <si>
    <t>FC</t>
  </si>
  <si>
    <t>FORSCOM</t>
  </si>
  <si>
    <t>AIR ASSAULT BDE</t>
  </si>
  <si>
    <t>FT CAMPBELL</t>
  </si>
  <si>
    <t>HDBL</t>
  </si>
  <si>
    <t>2118</t>
  </si>
  <si>
    <t>1KY</t>
  </si>
  <si>
    <t>4222X</t>
  </si>
  <si>
    <t>2020-12-20 00:00:00</t>
  </si>
  <si>
    <t>LKUP_FMS_UIC_HIERARCHY_FY2018</t>
  </si>
  <si>
    <t>B6N7K22H1L</t>
  </si>
  <si>
    <t>B6N7K2DF20</t>
  </si>
  <si>
    <t>JJHT4S8HYF</t>
  </si>
  <si>
    <t>YT7G8K8HYF</t>
  </si>
  <si>
    <t>PLI85E8HYF</t>
  </si>
  <si>
    <t>XVT23D8HYF</t>
  </si>
  <si>
    <t>QW3T5S8HYF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</si>
</sst>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sz val="12"/>
      <color rgb="FF0432FF"/>
      <name val="Aptos Narrow"/>
      <family val="2"/>
      <scheme val="minor"/>
    </font>
    <font>
      <sz val="12"/>
      <color theme="1"/>
      <name val="Arial Nova Cond Light"/>
      <family val="2"/>
    </font>
    <font>
      <sz val="12"/>
      <color theme="5" tint="-0.249977111117893"/>
      <name val="Aptos Narrow"/>
      <family val="2"/>
      <scheme val="minor"/>
    </font>
    <font>
      <sz val="8"/>
      <name val="Aptos Narrow"/>
      <family val="2"/>
      <scheme val="minor"/>
    </font>
    <font>
      <sz val="8"/>
      <color rgb="FF0432FF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 tint="-0.34998626667073579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5" tint="-0.249977111117893"/>
      <name val="Aptos Display"/>
      <family val="2"/>
      <scheme val="maj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16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49" fontId="8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center"/>
    </xf>
    <xf numFmtId="0" fontId="7" fillId="0" borderId="1" xfId="0" applyFont="1" applyBorder="1"/>
    <xf numFmtId="49" fontId="7" fillId="0" borderId="1" xfId="0" applyNumberFormat="1" applyFont="1" applyBorder="1" applyAlignment="1">
      <alignment horizontal="center"/>
    </xf>
    <xf numFmtId="49" fontId="7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C3F85-0C3D-7C4F-ABF1-67C0B8786CEE}">
  <dimension ref="A1:K25"/>
  <sheetViews>
    <sheetView zoomScale="150" workbookViewId="0">
      <selection activeCell="B9" sqref="B9:F9"/>
    </sheetView>
  </sheetViews>
  <sheetFormatPr defaultColWidth="11" defaultRowHeight="15.75" x14ac:dyDescent="0.25"/>
  <cols>
    <col min="1" max="1" width="12.625" style="1" bestFit="1" customWidth="1"/>
    <col min="2" max="2" width="16.5" style="1" bestFit="1" customWidth="1"/>
    <col min="3" max="3" width="15" style="1" bestFit="1" customWidth="1"/>
    <col min="4" max="4" width="12.375" style="1" bestFit="1" customWidth="1"/>
    <col min="5" max="5" width="11" style="1" bestFit="1" customWidth="1"/>
    <col min="6" max="6" width="10.875" style="1" bestFit="1" customWidth="1"/>
    <col min="7" max="8" width="11.125" style="1" bestFit="1" customWidth="1"/>
  </cols>
  <sheetData>
    <row r="1" spans="1:8" x14ac:dyDescent="0.25">
      <c r="B1" s="16" t="s">
        <v>7</v>
      </c>
      <c r="C1" s="16"/>
      <c r="D1" s="16"/>
      <c r="E1" s="16"/>
      <c r="F1" s="16"/>
    </row>
    <row r="2" spans="1:8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</row>
    <row r="3" spans="1:8" x14ac:dyDescent="0.25">
      <c r="A3" s="3" t="s">
        <v>27</v>
      </c>
      <c r="B3" s="4" t="s">
        <v>28</v>
      </c>
      <c r="C3" s="3" t="s">
        <v>0</v>
      </c>
      <c r="D3" s="3" t="s">
        <v>1</v>
      </c>
      <c r="E3" s="3" t="s">
        <v>2</v>
      </c>
      <c r="F3" s="3" t="s">
        <v>3</v>
      </c>
      <c r="G3" s="3" t="s">
        <v>23</v>
      </c>
      <c r="H3" s="3" t="s">
        <v>23</v>
      </c>
    </row>
    <row r="5" spans="1:8" x14ac:dyDescent="0.25">
      <c r="B5" s="16" t="s">
        <v>6</v>
      </c>
      <c r="C5" s="16"/>
      <c r="D5" s="16"/>
      <c r="E5" s="16"/>
      <c r="F5" s="16"/>
    </row>
    <row r="6" spans="1:8" x14ac:dyDescent="0.25">
      <c r="A6" s="2" t="s">
        <v>9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17</v>
      </c>
      <c r="H6" s="2" t="s">
        <v>18</v>
      </c>
    </row>
    <row r="7" spans="1:8" x14ac:dyDescent="0.25">
      <c r="A7" s="3" t="s">
        <v>5</v>
      </c>
      <c r="B7" s="3" t="s">
        <v>4</v>
      </c>
      <c r="C7" s="3" t="s">
        <v>0</v>
      </c>
      <c r="D7" s="3" t="s">
        <v>1</v>
      </c>
      <c r="E7" s="3" t="s">
        <v>2</v>
      </c>
      <c r="F7" s="3" t="s">
        <v>3</v>
      </c>
      <c r="G7" s="3" t="s">
        <v>8</v>
      </c>
      <c r="H7" s="3" t="s">
        <v>8</v>
      </c>
    </row>
    <row r="9" spans="1:8" x14ac:dyDescent="0.25">
      <c r="B9" s="16" t="s">
        <v>19</v>
      </c>
      <c r="C9" s="16"/>
      <c r="D9" s="16"/>
      <c r="E9" s="16"/>
      <c r="F9" s="16"/>
    </row>
    <row r="10" spans="1:8" x14ac:dyDescent="0.25">
      <c r="A10" s="2" t="s">
        <v>20</v>
      </c>
      <c r="B10" s="2" t="s">
        <v>21</v>
      </c>
      <c r="C10" s="2" t="s">
        <v>22</v>
      </c>
      <c r="D10" s="2" t="s">
        <v>14</v>
      </c>
      <c r="E10" s="2" t="s">
        <v>15</v>
      </c>
      <c r="F10" s="2" t="s">
        <v>16</v>
      </c>
      <c r="G10" s="2" t="s">
        <v>26</v>
      </c>
      <c r="H10"/>
    </row>
    <row r="11" spans="1:8" x14ac:dyDescent="0.25">
      <c r="A11" s="3" t="s">
        <v>23</v>
      </c>
      <c r="B11" s="1" t="s">
        <v>24</v>
      </c>
      <c r="C11" s="3" t="s">
        <v>25</v>
      </c>
      <c r="G11" s="1">
        <v>2018</v>
      </c>
    </row>
    <row r="14" spans="1:8" x14ac:dyDescent="0.25">
      <c r="B14" s="1" t="s">
        <v>32</v>
      </c>
    </row>
    <row r="15" spans="1:8" x14ac:dyDescent="0.25">
      <c r="B15" s="5">
        <v>45555</v>
      </c>
    </row>
    <row r="18" spans="4:11" x14ac:dyDescent="0.25">
      <c r="I18" s="2" t="s">
        <v>29</v>
      </c>
      <c r="J18" s="2" t="s">
        <v>30</v>
      </c>
      <c r="K18" s="2" t="s">
        <v>31</v>
      </c>
    </row>
    <row r="25" spans="4:11" x14ac:dyDescent="0.25">
      <c r="D25" s="1" t="s">
        <v>98</v>
      </c>
    </row>
  </sheetData>
  <mergeCells count="3">
    <mergeCell ref="B1:F1"/>
    <mergeCell ref="B5:F5"/>
    <mergeCell ref="B9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528BB-E43C-A447-B01E-37FD18115CA0}">
  <dimension ref="A1:G40"/>
  <sheetViews>
    <sheetView zoomScale="85" zoomScaleNormal="85" workbookViewId="0">
      <selection activeCell="B25" sqref="B25"/>
    </sheetView>
  </sheetViews>
  <sheetFormatPr defaultColWidth="11" defaultRowHeight="15.75" x14ac:dyDescent="0.25"/>
  <cols>
    <col min="1" max="1" width="16.5" bestFit="1" customWidth="1"/>
    <col min="2" max="2" width="34.875" bestFit="1" customWidth="1"/>
    <col min="3" max="3" width="12.875" bestFit="1" customWidth="1"/>
    <col min="4" max="4" width="12.625" bestFit="1" customWidth="1"/>
  </cols>
  <sheetData>
    <row r="1" spans="1:7" x14ac:dyDescent="0.25">
      <c r="A1" s="17" t="s">
        <v>38</v>
      </c>
      <c r="B1" s="17"/>
      <c r="C1" s="1"/>
      <c r="D1" s="1"/>
      <c r="E1" s="1"/>
    </row>
    <row r="2" spans="1:7" x14ac:dyDescent="0.25">
      <c r="A2" s="2" t="s">
        <v>39</v>
      </c>
      <c r="B2" s="2" t="s">
        <v>40</v>
      </c>
      <c r="C2" s="2" t="s">
        <v>41</v>
      </c>
      <c r="D2" s="2" t="s">
        <v>42</v>
      </c>
      <c r="E2" s="1"/>
    </row>
    <row r="3" spans="1:7" x14ac:dyDescent="0.25">
      <c r="A3" s="1" t="s">
        <v>43</v>
      </c>
      <c r="B3" s="1" t="s">
        <v>44</v>
      </c>
      <c r="C3" s="1" t="s">
        <v>45</v>
      </c>
      <c r="D3" s="6" t="s">
        <v>46</v>
      </c>
      <c r="E3" s="1"/>
    </row>
    <row r="4" spans="1:7" x14ac:dyDescent="0.25">
      <c r="A4" s="1" t="s">
        <v>47</v>
      </c>
      <c r="B4" s="1" t="s">
        <v>48</v>
      </c>
      <c r="C4" s="1" t="s">
        <v>49</v>
      </c>
      <c r="D4" s="6" t="s">
        <v>50</v>
      </c>
      <c r="E4" s="1"/>
    </row>
    <row r="5" spans="1:7" x14ac:dyDescent="0.25">
      <c r="A5" s="1"/>
      <c r="B5" s="1"/>
      <c r="C5" s="1"/>
      <c r="D5" s="1"/>
      <c r="E5" s="1"/>
    </row>
    <row r="6" spans="1:7" x14ac:dyDescent="0.25">
      <c r="A6" s="17" t="s">
        <v>51</v>
      </c>
      <c r="B6" s="17"/>
      <c r="C6" s="1"/>
      <c r="D6" s="1"/>
      <c r="E6" s="1"/>
    </row>
    <row r="7" spans="1:7" x14ac:dyDescent="0.25">
      <c r="A7" s="2" t="s">
        <v>14</v>
      </c>
      <c r="B7" s="2" t="s">
        <v>52</v>
      </c>
      <c r="C7" s="1"/>
      <c r="D7" s="1"/>
      <c r="E7" s="1"/>
    </row>
    <row r="8" spans="1:7" x14ac:dyDescent="0.25">
      <c r="A8" s="1">
        <v>1</v>
      </c>
      <c r="B8" s="1" t="s">
        <v>53</v>
      </c>
      <c r="C8" s="1"/>
      <c r="D8" s="1"/>
      <c r="E8" s="1"/>
    </row>
    <row r="9" spans="1:7" x14ac:dyDescent="0.25">
      <c r="A9" s="1">
        <v>2</v>
      </c>
      <c r="B9" s="1" t="s">
        <v>55</v>
      </c>
      <c r="C9" s="1"/>
      <c r="D9" s="1"/>
      <c r="E9" s="1"/>
    </row>
    <row r="10" spans="1:7" x14ac:dyDescent="0.25">
      <c r="A10" s="1">
        <v>3</v>
      </c>
      <c r="B10" s="1" t="s">
        <v>54</v>
      </c>
      <c r="C10" s="1"/>
      <c r="D10" s="1"/>
      <c r="E10" s="1"/>
    </row>
    <row r="11" spans="1:7" x14ac:dyDescent="0.25">
      <c r="A11" s="1"/>
      <c r="B11" s="1"/>
      <c r="C11" s="1"/>
      <c r="D11" s="1"/>
      <c r="E11" s="1"/>
    </row>
    <row r="12" spans="1:7" x14ac:dyDescent="0.25">
      <c r="A12" s="17" t="s">
        <v>56</v>
      </c>
      <c r="B12" s="17"/>
      <c r="C12" s="1"/>
      <c r="D12" s="1"/>
      <c r="E12" s="1"/>
    </row>
    <row r="13" spans="1:7" x14ac:dyDescent="0.25">
      <c r="A13" s="2" t="s">
        <v>57</v>
      </c>
      <c r="B13" s="2" t="s">
        <v>58</v>
      </c>
      <c r="C13" s="2" t="s">
        <v>59</v>
      </c>
      <c r="D13" s="2" t="s">
        <v>60</v>
      </c>
      <c r="E13" s="7"/>
      <c r="F13" s="7"/>
      <c r="G13" s="2"/>
    </row>
    <row r="14" spans="1:7" x14ac:dyDescent="0.25">
      <c r="A14" s="1" t="s">
        <v>61</v>
      </c>
      <c r="B14" s="1" t="s">
        <v>45</v>
      </c>
      <c r="C14" s="8" t="s">
        <v>62</v>
      </c>
      <c r="D14" s="1" t="s">
        <v>66</v>
      </c>
      <c r="E14" s="1"/>
      <c r="F14" s="1"/>
      <c r="G14" s="1"/>
    </row>
    <row r="15" spans="1:7" x14ac:dyDescent="0.25">
      <c r="A15" s="1" t="s">
        <v>61</v>
      </c>
      <c r="B15" s="1" t="s">
        <v>64</v>
      </c>
      <c r="C15" s="8" t="s">
        <v>65</v>
      </c>
      <c r="D15" s="1" t="s">
        <v>61</v>
      </c>
      <c r="E15" s="1"/>
      <c r="F15" s="1"/>
      <c r="G15" s="1"/>
    </row>
    <row r="16" spans="1:7" x14ac:dyDescent="0.25">
      <c r="A16" s="1" t="s">
        <v>61</v>
      </c>
      <c r="B16" s="1" t="s">
        <v>67</v>
      </c>
      <c r="C16" s="8" t="s">
        <v>68</v>
      </c>
      <c r="D16" s="1" t="s">
        <v>66</v>
      </c>
      <c r="E16" s="1"/>
      <c r="F16" s="6"/>
      <c r="G16" s="1"/>
    </row>
    <row r="17" spans="1:7" x14ac:dyDescent="0.25">
      <c r="A17" s="1"/>
      <c r="B17" s="1"/>
      <c r="C17" s="1"/>
      <c r="D17" s="1"/>
      <c r="E17" s="1"/>
      <c r="F17" s="1"/>
      <c r="G17" s="1"/>
    </row>
    <row r="18" spans="1:7" x14ac:dyDescent="0.25">
      <c r="A18" s="17" t="s">
        <v>69</v>
      </c>
      <c r="B18" s="17"/>
      <c r="C18" s="1"/>
      <c r="D18" s="1"/>
      <c r="E18" s="1"/>
      <c r="F18" s="1"/>
      <c r="G18" s="1"/>
    </row>
    <row r="19" spans="1:7" x14ac:dyDescent="0.25">
      <c r="A19" s="2" t="s">
        <v>70</v>
      </c>
      <c r="B19" s="2" t="s">
        <v>71</v>
      </c>
      <c r="C19" s="2" t="s">
        <v>72</v>
      </c>
      <c r="D19" s="1"/>
      <c r="E19" s="1"/>
      <c r="F19" s="1"/>
      <c r="G19" s="1"/>
    </row>
    <row r="20" spans="1:7" x14ac:dyDescent="0.25">
      <c r="A20" s="6" t="s">
        <v>75</v>
      </c>
      <c r="B20" s="6" t="s">
        <v>73</v>
      </c>
      <c r="C20" s="6" t="s">
        <v>74</v>
      </c>
      <c r="D20" s="1"/>
      <c r="E20" s="1"/>
      <c r="F20" s="1"/>
      <c r="G20" s="1"/>
    </row>
    <row r="21" spans="1:7" x14ac:dyDescent="0.25">
      <c r="A21" s="6" t="s">
        <v>76</v>
      </c>
      <c r="B21" s="6" t="s">
        <v>44</v>
      </c>
      <c r="C21" s="6" t="s">
        <v>77</v>
      </c>
    </row>
    <row r="22" spans="1:7" x14ac:dyDescent="0.25">
      <c r="A22" s="6" t="s">
        <v>78</v>
      </c>
      <c r="B22" s="6" t="s">
        <v>79</v>
      </c>
      <c r="C22" s="6" t="s">
        <v>80</v>
      </c>
    </row>
    <row r="24" spans="1:7" x14ac:dyDescent="0.25">
      <c r="A24" s="17" t="s">
        <v>81</v>
      </c>
      <c r="B24" s="17"/>
    </row>
    <row r="25" spans="1:7" x14ac:dyDescent="0.25">
      <c r="A25" s="2" t="s">
        <v>82</v>
      </c>
      <c r="B25" s="2" t="s">
        <v>230</v>
      </c>
    </row>
    <row r="26" spans="1:7" x14ac:dyDescent="0.25">
      <c r="A26" s="6" t="s">
        <v>2</v>
      </c>
      <c r="B26" s="6" t="s">
        <v>84</v>
      </c>
    </row>
    <row r="27" spans="1:7" x14ac:dyDescent="0.25">
      <c r="A27" s="6" t="s">
        <v>63</v>
      </c>
      <c r="B27" s="6" t="s">
        <v>85</v>
      </c>
    </row>
    <row r="28" spans="1:7" x14ac:dyDescent="0.25">
      <c r="A28" s="6" t="s">
        <v>83</v>
      </c>
      <c r="B28" s="6" t="s">
        <v>86</v>
      </c>
    </row>
    <row r="29" spans="1:7" x14ac:dyDescent="0.25">
      <c r="A29" s="6" t="s">
        <v>87</v>
      </c>
      <c r="B29" s="6" t="s">
        <v>88</v>
      </c>
    </row>
    <row r="31" spans="1:7" x14ac:dyDescent="0.25">
      <c r="A31" s="17" t="s">
        <v>33</v>
      </c>
      <c r="B31" s="17"/>
    </row>
    <row r="32" spans="1:7" x14ac:dyDescent="0.25">
      <c r="A32" s="2" t="s">
        <v>34</v>
      </c>
      <c r="B32" s="2" t="s">
        <v>35</v>
      </c>
    </row>
    <row r="33" spans="1:2" x14ac:dyDescent="0.25">
      <c r="A33" s="1" t="s">
        <v>36</v>
      </c>
      <c r="B33" s="1" t="s">
        <v>37</v>
      </c>
    </row>
    <row r="35" spans="1:2" x14ac:dyDescent="0.25">
      <c r="A35" s="17" t="s">
        <v>89</v>
      </c>
      <c r="B35" s="17"/>
    </row>
    <row r="36" spans="1:2" x14ac:dyDescent="0.25">
      <c r="A36" s="2" t="s">
        <v>90</v>
      </c>
      <c r="B36" s="2" t="s">
        <v>91</v>
      </c>
    </row>
    <row r="37" spans="1:2" x14ac:dyDescent="0.25">
      <c r="A37" s="6" t="s">
        <v>83</v>
      </c>
      <c r="B37" s="6" t="s">
        <v>97</v>
      </c>
    </row>
    <row r="38" spans="1:2" x14ac:dyDescent="0.25">
      <c r="A38" s="6" t="s">
        <v>92</v>
      </c>
      <c r="B38" s="6" t="s">
        <v>93</v>
      </c>
    </row>
    <row r="39" spans="1:2" x14ac:dyDescent="0.25">
      <c r="A39" s="6" t="s">
        <v>67</v>
      </c>
      <c r="B39" s="6" t="s">
        <v>94</v>
      </c>
    </row>
    <row r="40" spans="1:2" x14ac:dyDescent="0.25">
      <c r="A40" s="6" t="s">
        <v>95</v>
      </c>
      <c r="B40" s="6" t="s">
        <v>96</v>
      </c>
    </row>
  </sheetData>
  <mergeCells count="7">
    <mergeCell ref="A24:B24"/>
    <mergeCell ref="A35:B35"/>
    <mergeCell ref="A31:B31"/>
    <mergeCell ref="A1:B1"/>
    <mergeCell ref="A6:B6"/>
    <mergeCell ref="A12:B12"/>
    <mergeCell ref="A18:B18"/>
  </mergeCells>
  <phoneticPr fontId="4" type="noConversion"/>
  <pageMargins left="0.7" right="0.7" top="0.75" bottom="0.75" header="0.3" footer="0.3"/>
  <pageSetup orientation="portrait" r:id="rId1"/>
  <ignoredErrors>
    <ignoredError sqref="A20:A2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5B6E2-7323-48A2-B0A8-4E567FB96C8E}">
  <sheetPr>
    <pageSetUpPr fitToPage="1"/>
  </sheetPr>
  <dimension ref="A1:AC54"/>
  <sheetViews>
    <sheetView tabSelected="1" workbookViewId="0">
      <pane xSplit="1" topLeftCell="C1" activePane="topRight" state="frozen"/>
      <selection activeCell="A10" sqref="A10"/>
      <selection pane="topRight" activeCell="G7" sqref="G7"/>
    </sheetView>
  </sheetViews>
  <sheetFormatPr defaultRowHeight="15.75" x14ac:dyDescent="0.25"/>
  <cols>
    <col min="1" max="1" width="26" bestFit="1" customWidth="1"/>
    <col min="3" max="5" width="31.25" style="6" bestFit="1" customWidth="1"/>
    <col min="6" max="6" width="32.375" style="6" bestFit="1" customWidth="1"/>
    <col min="7" max="7" width="31.125" style="1" customWidth="1"/>
    <col min="8" max="8" width="33.875" style="6" customWidth="1"/>
    <col min="9" max="10" width="31.25" bestFit="1" customWidth="1"/>
    <col min="11" max="11" width="37.125" style="6" customWidth="1"/>
  </cols>
  <sheetData>
    <row r="1" spans="1:29" s="9" customFormat="1" ht="16.5" thickBot="1" x14ac:dyDescent="0.3">
      <c r="A1" s="12" t="s">
        <v>99</v>
      </c>
      <c r="B1" s="12"/>
      <c r="C1" s="13" t="s">
        <v>161</v>
      </c>
      <c r="D1" s="13" t="s">
        <v>162</v>
      </c>
      <c r="E1" s="13" t="s">
        <v>184</v>
      </c>
      <c r="F1" s="13" t="s">
        <v>185</v>
      </c>
      <c r="G1" s="13" t="s">
        <v>146</v>
      </c>
      <c r="H1" s="13" t="s">
        <v>215</v>
      </c>
      <c r="I1" s="12"/>
      <c r="J1" s="13" t="s">
        <v>213</v>
      </c>
      <c r="K1" s="14" t="s">
        <v>231</v>
      </c>
    </row>
    <row r="2" spans="1:29" ht="16.5" thickTop="1" x14ac:dyDescent="0.25">
      <c r="A2" s="9" t="s">
        <v>101</v>
      </c>
      <c r="C2" s="6">
        <v>5259</v>
      </c>
      <c r="D2" s="6">
        <v>5258</v>
      </c>
      <c r="E2" s="6">
        <v>5255</v>
      </c>
      <c r="F2" s="6">
        <v>5189</v>
      </c>
      <c r="G2" s="6">
        <v>4683</v>
      </c>
      <c r="H2" s="6" t="s">
        <v>209</v>
      </c>
      <c r="I2" s="6">
        <v>64</v>
      </c>
      <c r="J2" s="6">
        <v>8</v>
      </c>
      <c r="K2" s="6" t="s">
        <v>232</v>
      </c>
    </row>
    <row r="3" spans="1:29" x14ac:dyDescent="0.25">
      <c r="A3" t="s">
        <v>100</v>
      </c>
      <c r="C3" s="6">
        <v>11</v>
      </c>
      <c r="D3" s="6">
        <v>10</v>
      </c>
      <c r="E3" s="6">
        <v>9</v>
      </c>
      <c r="F3" s="6" t="s">
        <v>186</v>
      </c>
      <c r="G3" s="6">
        <v>7</v>
      </c>
      <c r="H3" s="6" t="s">
        <v>210</v>
      </c>
      <c r="I3" s="6">
        <v>5</v>
      </c>
      <c r="J3" s="6">
        <v>4</v>
      </c>
      <c r="K3" s="6" t="s">
        <v>233</v>
      </c>
    </row>
    <row r="4" spans="1:29" x14ac:dyDescent="0.25">
      <c r="A4" t="s">
        <v>20</v>
      </c>
      <c r="C4" s="6" t="s">
        <v>142</v>
      </c>
      <c r="D4" s="6" t="s">
        <v>143</v>
      </c>
      <c r="E4" s="6" t="s">
        <v>163</v>
      </c>
      <c r="F4" s="6" t="s">
        <v>179</v>
      </c>
      <c r="G4" s="6" t="s">
        <v>144</v>
      </c>
      <c r="H4" s="6" t="s">
        <v>199</v>
      </c>
      <c r="I4" s="6" t="s">
        <v>212</v>
      </c>
      <c r="J4" s="6" t="s">
        <v>213</v>
      </c>
      <c r="K4" s="6" t="s">
        <v>234</v>
      </c>
    </row>
    <row r="5" spans="1:29" x14ac:dyDescent="0.25">
      <c r="A5" t="s">
        <v>102</v>
      </c>
      <c r="C5" s="1" t="str">
        <f>LEFT(C4,6)</f>
        <v>OD0ZYU</v>
      </c>
      <c r="D5" s="1" t="str">
        <f t="shared" ref="D5:G5" si="0">LEFT(D4,6)</f>
        <v>OD0ZYU</v>
      </c>
      <c r="E5" s="1" t="str">
        <f t="shared" si="0"/>
        <v>7ZN477</v>
      </c>
      <c r="F5" s="1" t="str">
        <f t="shared" si="0"/>
        <v>SSK8B1</v>
      </c>
      <c r="G5" s="1" t="str">
        <f t="shared" si="0"/>
        <v>OLL28Z</v>
      </c>
      <c r="H5" s="1" t="str">
        <f t="shared" ref="H5" si="1">LEFT(H4,6)</f>
        <v>WYGX4P</v>
      </c>
      <c r="I5" s="1" t="str">
        <f t="shared" ref="I5" si="2">LEFT(I4,6)</f>
        <v>9FTO40</v>
      </c>
      <c r="J5" s="10" t="s">
        <v>197</v>
      </c>
      <c r="K5" s="6" t="str">
        <f t="shared" ref="K5" si="3">LEFT(K4,6)</f>
        <v>Z1L47Z</v>
      </c>
      <c r="L5" s="1" t="str">
        <f t="shared" ref="L5" si="4">LEFT(L4,6)</f>
        <v/>
      </c>
      <c r="M5" s="1" t="str">
        <f t="shared" ref="M5" si="5">LEFT(M4,6)</f>
        <v/>
      </c>
      <c r="N5" s="1" t="str">
        <f t="shared" ref="N5" si="6">LEFT(N4,6)</f>
        <v/>
      </c>
      <c r="O5" s="1" t="str">
        <f t="shared" ref="O5" si="7">LEFT(O4,6)</f>
        <v/>
      </c>
      <c r="P5" s="1" t="str">
        <f t="shared" ref="P5" si="8">LEFT(P4,6)</f>
        <v/>
      </c>
      <c r="Q5" s="1" t="str">
        <f t="shared" ref="Q5" si="9">LEFT(Q4,6)</f>
        <v/>
      </c>
      <c r="R5" s="1" t="str">
        <f t="shared" ref="R5" si="10">LEFT(R4,6)</f>
        <v/>
      </c>
      <c r="S5" s="1" t="str">
        <f t="shared" ref="S5" si="11">LEFT(S4,6)</f>
        <v/>
      </c>
      <c r="T5" s="1" t="str">
        <f t="shared" ref="T5" si="12">LEFT(T4,6)</f>
        <v/>
      </c>
      <c r="U5" s="1" t="str">
        <f t="shared" ref="U5" si="13">LEFT(U4,6)</f>
        <v/>
      </c>
      <c r="V5" s="1" t="str">
        <f t="shared" ref="V5" si="14">LEFT(V4,6)</f>
        <v/>
      </c>
      <c r="W5" s="1" t="str">
        <f t="shared" ref="W5" si="15">LEFT(W4,6)</f>
        <v/>
      </c>
      <c r="X5" s="1" t="str">
        <f t="shared" ref="X5" si="16">LEFT(X4,6)</f>
        <v/>
      </c>
      <c r="Y5" s="1" t="str">
        <f t="shared" ref="Y5" si="17">LEFT(Y4,6)</f>
        <v/>
      </c>
      <c r="Z5" s="1" t="str">
        <f t="shared" ref="Z5" si="18">LEFT(Z4,6)</f>
        <v/>
      </c>
      <c r="AA5" s="1" t="str">
        <f t="shared" ref="AA5" si="19">LEFT(AA4,6)</f>
        <v/>
      </c>
      <c r="AB5" s="1" t="str">
        <f t="shared" ref="AB5" si="20">LEFT(AB4,6)</f>
        <v/>
      </c>
      <c r="AC5" s="1" t="str">
        <f t="shared" ref="AC5" si="21">LEFT(AC4,6)</f>
        <v/>
      </c>
    </row>
    <row r="6" spans="1:29" x14ac:dyDescent="0.25">
      <c r="A6" t="s">
        <v>103</v>
      </c>
      <c r="C6" s="1" t="str">
        <f>RIGHT(C4,4)</f>
        <v>3GR8</v>
      </c>
      <c r="D6" s="1" t="str">
        <f t="shared" ref="D6:F6" si="22">RIGHT(D4,4)</f>
        <v>FZ0O</v>
      </c>
      <c r="E6" s="1" t="str">
        <f t="shared" si="22"/>
        <v>5UHX</v>
      </c>
      <c r="F6" s="1" t="str">
        <f t="shared" si="22"/>
        <v>5UHX</v>
      </c>
      <c r="G6" s="1" t="str">
        <f t="shared" ref="G6:AC6" si="23">RIGHT(G4,4)</f>
        <v>5UHX</v>
      </c>
      <c r="H6" s="1" t="str">
        <f t="shared" si="23"/>
        <v>5UHX</v>
      </c>
      <c r="I6" s="1" t="str">
        <f t="shared" si="23"/>
        <v>5UHX</v>
      </c>
      <c r="J6" s="10" t="s">
        <v>197</v>
      </c>
      <c r="K6" s="6" t="str">
        <f t="shared" si="23"/>
        <v>3GR8</v>
      </c>
      <c r="L6" s="1" t="str">
        <f t="shared" si="23"/>
        <v/>
      </c>
      <c r="M6" s="1" t="str">
        <f t="shared" si="23"/>
        <v/>
      </c>
      <c r="N6" s="1" t="str">
        <f t="shared" si="23"/>
        <v/>
      </c>
      <c r="O6" s="1" t="str">
        <f t="shared" si="23"/>
        <v/>
      </c>
      <c r="P6" s="1" t="str">
        <f t="shared" si="23"/>
        <v/>
      </c>
      <c r="Q6" s="1" t="str">
        <f t="shared" si="23"/>
        <v/>
      </c>
      <c r="R6" s="1" t="str">
        <f t="shared" si="23"/>
        <v/>
      </c>
      <c r="S6" s="1" t="str">
        <f t="shared" si="23"/>
        <v/>
      </c>
      <c r="T6" s="1" t="str">
        <f t="shared" si="23"/>
        <v/>
      </c>
      <c r="U6" s="1" t="str">
        <f t="shared" si="23"/>
        <v/>
      </c>
      <c r="V6" s="1" t="str">
        <f t="shared" si="23"/>
        <v/>
      </c>
      <c r="W6" s="1" t="str">
        <f t="shared" si="23"/>
        <v/>
      </c>
      <c r="X6" s="1" t="str">
        <f t="shared" si="23"/>
        <v/>
      </c>
      <c r="Y6" s="1" t="str">
        <f t="shared" si="23"/>
        <v/>
      </c>
      <c r="Z6" s="1" t="str">
        <f t="shared" si="23"/>
        <v/>
      </c>
      <c r="AA6" s="1" t="str">
        <f t="shared" si="23"/>
        <v/>
      </c>
      <c r="AB6" s="1" t="str">
        <f t="shared" si="23"/>
        <v/>
      </c>
      <c r="AC6" s="1" t="str">
        <f t="shared" si="23"/>
        <v/>
      </c>
    </row>
    <row r="7" spans="1:29" x14ac:dyDescent="0.25">
      <c r="A7" t="s">
        <v>21</v>
      </c>
      <c r="C7" s="6" t="s">
        <v>24</v>
      </c>
      <c r="D7" s="6" t="s">
        <v>24</v>
      </c>
      <c r="E7" s="6" t="s">
        <v>24</v>
      </c>
      <c r="F7" s="6" t="s">
        <v>187</v>
      </c>
      <c r="G7" s="6" t="s">
        <v>24</v>
      </c>
      <c r="H7" s="10" t="s">
        <v>197</v>
      </c>
      <c r="I7" s="10" t="s">
        <v>197</v>
      </c>
      <c r="J7" s="10" t="s">
        <v>197</v>
      </c>
      <c r="K7" s="6" t="s">
        <v>24</v>
      </c>
    </row>
    <row r="8" spans="1:29" x14ac:dyDescent="0.25">
      <c r="A8" t="s">
        <v>104</v>
      </c>
      <c r="K8" s="1"/>
    </row>
    <row r="9" spans="1:29" x14ac:dyDescent="0.25">
      <c r="A9" t="s">
        <v>22</v>
      </c>
      <c r="C9" s="6" t="s">
        <v>143</v>
      </c>
      <c r="D9" s="6" t="s">
        <v>163</v>
      </c>
      <c r="E9" s="6" t="s">
        <v>179</v>
      </c>
      <c r="F9" s="6" t="s">
        <v>144</v>
      </c>
      <c r="G9" s="6" t="s">
        <v>199</v>
      </c>
      <c r="H9" s="6" t="s">
        <v>212</v>
      </c>
      <c r="I9" s="6" t="s">
        <v>213</v>
      </c>
      <c r="J9" s="11" t="s">
        <v>216</v>
      </c>
      <c r="K9" s="6" t="s">
        <v>235</v>
      </c>
    </row>
    <row r="10" spans="1:29" x14ac:dyDescent="0.25">
      <c r="A10" t="s">
        <v>112</v>
      </c>
      <c r="K10" s="1"/>
    </row>
    <row r="11" spans="1:29" x14ac:dyDescent="0.25">
      <c r="A11" t="s">
        <v>113</v>
      </c>
      <c r="C11" s="6" t="s">
        <v>144</v>
      </c>
      <c r="D11" s="6" t="s">
        <v>144</v>
      </c>
      <c r="E11" s="6" t="s">
        <v>144</v>
      </c>
      <c r="F11" s="6" t="s">
        <v>144</v>
      </c>
      <c r="G11" s="6" t="s">
        <v>144</v>
      </c>
      <c r="H11" s="10" t="s">
        <v>197</v>
      </c>
      <c r="I11" s="10" t="s">
        <v>197</v>
      </c>
      <c r="J11" s="10" t="s">
        <v>197</v>
      </c>
      <c r="K11" s="6" t="s">
        <v>236</v>
      </c>
    </row>
    <row r="12" spans="1:29" x14ac:dyDescent="0.25">
      <c r="A12" t="s">
        <v>114</v>
      </c>
      <c r="C12" s="6" t="s">
        <v>145</v>
      </c>
      <c r="D12" s="6" t="s">
        <v>145</v>
      </c>
      <c r="E12" s="6" t="s">
        <v>145</v>
      </c>
      <c r="F12" s="6" t="s">
        <v>145</v>
      </c>
      <c r="G12" s="6" t="s">
        <v>145</v>
      </c>
      <c r="H12" s="10" t="s">
        <v>197</v>
      </c>
      <c r="I12" s="10" t="s">
        <v>197</v>
      </c>
      <c r="J12" s="10" t="s">
        <v>197</v>
      </c>
      <c r="K12" s="6" t="s">
        <v>237</v>
      </c>
    </row>
    <row r="13" spans="1:29" x14ac:dyDescent="0.25">
      <c r="A13" t="s">
        <v>115</v>
      </c>
      <c r="C13" s="6" t="s">
        <v>146</v>
      </c>
      <c r="D13" s="6" t="s">
        <v>146</v>
      </c>
      <c r="E13" s="6" t="s">
        <v>146</v>
      </c>
      <c r="F13" s="6" t="s">
        <v>146</v>
      </c>
      <c r="G13" s="6" t="s">
        <v>146</v>
      </c>
      <c r="H13" s="10" t="s">
        <v>197</v>
      </c>
      <c r="I13" s="10" t="s">
        <v>197</v>
      </c>
      <c r="J13" s="10" t="s">
        <v>197</v>
      </c>
      <c r="K13" s="6" t="s">
        <v>238</v>
      </c>
    </row>
    <row r="14" spans="1:29" x14ac:dyDescent="0.25">
      <c r="A14" t="s">
        <v>42</v>
      </c>
      <c r="C14" s="10" t="s">
        <v>197</v>
      </c>
      <c r="D14" s="6" t="s">
        <v>165</v>
      </c>
      <c r="E14" s="10" t="s">
        <v>197</v>
      </c>
      <c r="F14" s="10" t="s">
        <v>197</v>
      </c>
      <c r="G14" s="10" t="s">
        <v>197</v>
      </c>
      <c r="H14" s="10" t="s">
        <v>197</v>
      </c>
      <c r="I14" s="10" t="s">
        <v>197</v>
      </c>
      <c r="J14" s="10" t="s">
        <v>197</v>
      </c>
      <c r="K14" s="10" t="s">
        <v>197</v>
      </c>
    </row>
    <row r="15" spans="1:29" x14ac:dyDescent="0.25">
      <c r="A15" t="s">
        <v>13</v>
      </c>
      <c r="C15" s="6" t="s">
        <v>147</v>
      </c>
      <c r="D15" s="6" t="s">
        <v>147</v>
      </c>
      <c r="E15" s="6" t="s">
        <v>147</v>
      </c>
      <c r="F15" s="6" t="s">
        <v>147</v>
      </c>
      <c r="G15" s="6" t="s">
        <v>147</v>
      </c>
      <c r="H15" s="6" t="s">
        <v>147</v>
      </c>
      <c r="I15" s="6" t="s">
        <v>147</v>
      </c>
      <c r="J15" s="6" t="s">
        <v>217</v>
      </c>
      <c r="K15" s="6" t="s">
        <v>147</v>
      </c>
    </row>
    <row r="16" spans="1:29" x14ac:dyDescent="0.25">
      <c r="A16" t="s">
        <v>14</v>
      </c>
      <c r="C16" s="6">
        <v>1</v>
      </c>
      <c r="D16" s="6">
        <v>1</v>
      </c>
      <c r="E16" s="6">
        <v>1</v>
      </c>
      <c r="F16" s="6">
        <v>1</v>
      </c>
      <c r="G16" s="6">
        <v>1</v>
      </c>
      <c r="H16" s="10" t="s">
        <v>197</v>
      </c>
      <c r="I16" s="10" t="s">
        <v>197</v>
      </c>
      <c r="J16" s="10" t="s">
        <v>197</v>
      </c>
      <c r="K16" s="6">
        <v>1</v>
      </c>
    </row>
    <row r="17" spans="1:11" x14ac:dyDescent="0.25">
      <c r="A17" t="s">
        <v>52</v>
      </c>
      <c r="C17" s="6" t="s">
        <v>53</v>
      </c>
      <c r="D17" s="6" t="s">
        <v>53</v>
      </c>
      <c r="E17" s="6" t="s">
        <v>53</v>
      </c>
      <c r="F17" s="6" t="s">
        <v>53</v>
      </c>
      <c r="G17" s="6" t="s">
        <v>53</v>
      </c>
      <c r="H17" s="10" t="s">
        <v>197</v>
      </c>
      <c r="I17" s="10" t="s">
        <v>197</v>
      </c>
      <c r="J17" s="10" t="s">
        <v>197</v>
      </c>
      <c r="K17" s="6" t="s">
        <v>53</v>
      </c>
    </row>
    <row r="18" spans="1:11" x14ac:dyDescent="0.25">
      <c r="A18" t="s">
        <v>116</v>
      </c>
      <c r="C18" s="6" t="s">
        <v>148</v>
      </c>
      <c r="D18" s="6" t="s">
        <v>148</v>
      </c>
      <c r="E18" s="6" t="s">
        <v>148</v>
      </c>
      <c r="F18" s="6" t="s">
        <v>188</v>
      </c>
      <c r="G18" s="6" t="s">
        <v>188</v>
      </c>
      <c r="H18" s="6" t="s">
        <v>188</v>
      </c>
      <c r="I18" s="6" t="s">
        <v>188</v>
      </c>
      <c r="J18" s="6" t="s">
        <v>188</v>
      </c>
      <c r="K18" s="6" t="s">
        <v>148</v>
      </c>
    </row>
    <row r="19" spans="1:11" x14ac:dyDescent="0.25">
      <c r="A19" t="s">
        <v>117</v>
      </c>
      <c r="C19" s="6" t="s">
        <v>149</v>
      </c>
      <c r="D19" s="6" t="s">
        <v>149</v>
      </c>
      <c r="E19" s="6" t="s">
        <v>149</v>
      </c>
      <c r="F19" s="10" t="s">
        <v>197</v>
      </c>
      <c r="G19" s="10" t="s">
        <v>197</v>
      </c>
      <c r="H19" s="10" t="s">
        <v>197</v>
      </c>
      <c r="I19" s="10" t="s">
        <v>197</v>
      </c>
      <c r="J19" s="10" t="s">
        <v>197</v>
      </c>
      <c r="K19" s="11" t="s">
        <v>149</v>
      </c>
    </row>
    <row r="20" spans="1:11" x14ac:dyDescent="0.25">
      <c r="A20" t="s">
        <v>118</v>
      </c>
      <c r="C20" s="6" t="s">
        <v>150</v>
      </c>
      <c r="D20" s="6" t="s">
        <v>150</v>
      </c>
      <c r="E20" s="6" t="s">
        <v>150</v>
      </c>
      <c r="F20" s="6" t="s">
        <v>189</v>
      </c>
      <c r="G20" s="6" t="s">
        <v>189</v>
      </c>
      <c r="H20" s="6" t="s">
        <v>189</v>
      </c>
      <c r="I20" s="6" t="s">
        <v>189</v>
      </c>
      <c r="J20" s="6" t="s">
        <v>189</v>
      </c>
      <c r="K20" s="6" t="s">
        <v>150</v>
      </c>
    </row>
    <row r="21" spans="1:11" x14ac:dyDescent="0.25">
      <c r="A21" t="s">
        <v>119</v>
      </c>
      <c r="C21" s="6" t="s">
        <v>151</v>
      </c>
      <c r="D21" s="6" t="s">
        <v>36</v>
      </c>
      <c r="E21" s="6" t="s">
        <v>180</v>
      </c>
      <c r="F21" s="6" t="s">
        <v>190</v>
      </c>
      <c r="G21" s="6" t="s">
        <v>200</v>
      </c>
      <c r="H21" s="6" t="s">
        <v>211</v>
      </c>
      <c r="I21" s="11" t="s">
        <v>214</v>
      </c>
      <c r="J21" s="11" t="s">
        <v>214</v>
      </c>
      <c r="K21" s="6" t="s">
        <v>151</v>
      </c>
    </row>
    <row r="22" spans="1:11" x14ac:dyDescent="0.25">
      <c r="A22" t="s">
        <v>120</v>
      </c>
      <c r="C22" s="6" t="s">
        <v>2</v>
      </c>
      <c r="D22" s="6" t="s">
        <v>2</v>
      </c>
      <c r="E22" s="6" t="s">
        <v>2</v>
      </c>
      <c r="F22" s="6" t="s">
        <v>191</v>
      </c>
      <c r="G22" s="6" t="s">
        <v>87</v>
      </c>
      <c r="H22" s="10" t="s">
        <v>197</v>
      </c>
      <c r="I22" s="10" t="s">
        <v>197</v>
      </c>
      <c r="J22" s="10" t="s">
        <v>197</v>
      </c>
      <c r="K22" s="6" t="s">
        <v>191</v>
      </c>
    </row>
    <row r="23" spans="1:11" x14ac:dyDescent="0.25">
      <c r="A23" t="s">
        <v>121</v>
      </c>
      <c r="C23" s="6" t="s">
        <v>84</v>
      </c>
      <c r="D23" s="6" t="s">
        <v>84</v>
      </c>
      <c r="E23" s="6" t="s">
        <v>84</v>
      </c>
      <c r="F23" s="6" t="s">
        <v>192</v>
      </c>
      <c r="G23" s="6" t="s">
        <v>88</v>
      </c>
      <c r="H23" s="10" t="s">
        <v>197</v>
      </c>
      <c r="I23" s="10" t="s">
        <v>197</v>
      </c>
      <c r="J23" s="10" t="s">
        <v>197</v>
      </c>
      <c r="K23" s="6" t="s">
        <v>192</v>
      </c>
    </row>
    <row r="24" spans="1:11" x14ac:dyDescent="0.25">
      <c r="A24" t="s">
        <v>122</v>
      </c>
      <c r="C24" s="6" t="s">
        <v>152</v>
      </c>
      <c r="D24" s="6" t="s">
        <v>152</v>
      </c>
      <c r="E24" s="6" t="s">
        <v>152</v>
      </c>
      <c r="F24" s="10" t="s">
        <v>197</v>
      </c>
      <c r="G24" s="6" t="s">
        <v>202</v>
      </c>
      <c r="H24" s="10" t="s">
        <v>197</v>
      </c>
      <c r="I24" s="10" t="s">
        <v>197</v>
      </c>
      <c r="J24" s="10" t="s">
        <v>197</v>
      </c>
      <c r="K24" s="6" t="s">
        <v>239</v>
      </c>
    </row>
    <row r="25" spans="1:11" x14ac:dyDescent="0.25">
      <c r="A25" t="s">
        <v>123</v>
      </c>
      <c r="C25" s="6" t="s">
        <v>153</v>
      </c>
      <c r="D25" s="6" t="s">
        <v>153</v>
      </c>
      <c r="E25" s="6" t="s">
        <v>181</v>
      </c>
      <c r="F25" s="10" t="s">
        <v>197</v>
      </c>
      <c r="G25" s="6" t="s">
        <v>181</v>
      </c>
      <c r="H25" s="10" t="s">
        <v>197</v>
      </c>
      <c r="I25" s="10" t="s">
        <v>197</v>
      </c>
      <c r="J25" s="10" t="s">
        <v>197</v>
      </c>
      <c r="K25" s="6" t="s">
        <v>153</v>
      </c>
    </row>
    <row r="26" spans="1:11" x14ac:dyDescent="0.25">
      <c r="A26" t="s">
        <v>124</v>
      </c>
      <c r="C26" s="6" t="s">
        <v>154</v>
      </c>
      <c r="D26" s="6" t="s">
        <v>36</v>
      </c>
      <c r="E26" s="6" t="s">
        <v>180</v>
      </c>
      <c r="F26" s="6" t="s">
        <v>193</v>
      </c>
      <c r="G26" s="6" t="s">
        <v>193</v>
      </c>
      <c r="H26" s="10" t="s">
        <v>197</v>
      </c>
      <c r="I26" s="10" t="s">
        <v>197</v>
      </c>
      <c r="J26" s="10" t="s">
        <v>197</v>
      </c>
      <c r="K26" s="6" t="s">
        <v>154</v>
      </c>
    </row>
    <row r="27" spans="1:11" x14ac:dyDescent="0.25">
      <c r="A27" t="s">
        <v>125</v>
      </c>
      <c r="C27" s="6" t="s">
        <v>155</v>
      </c>
      <c r="D27" s="6" t="s">
        <v>37</v>
      </c>
      <c r="E27" s="6" t="s">
        <v>182</v>
      </c>
      <c r="F27" s="6" t="s">
        <v>194</v>
      </c>
      <c r="G27" s="6" t="s">
        <v>194</v>
      </c>
      <c r="H27" s="10" t="s">
        <v>197</v>
      </c>
      <c r="I27" s="10" t="s">
        <v>197</v>
      </c>
      <c r="J27" s="10" t="s">
        <v>197</v>
      </c>
      <c r="K27" s="6" t="s">
        <v>155</v>
      </c>
    </row>
    <row r="28" spans="1:11" x14ac:dyDescent="0.25">
      <c r="A28" t="s">
        <v>126</v>
      </c>
      <c r="C28" s="6">
        <v>0</v>
      </c>
      <c r="D28" s="6">
        <v>0</v>
      </c>
      <c r="E28" s="6">
        <v>0</v>
      </c>
      <c r="F28" s="6" t="s">
        <v>83</v>
      </c>
      <c r="G28" s="6" t="s">
        <v>83</v>
      </c>
      <c r="H28" s="10" t="s">
        <v>197</v>
      </c>
      <c r="I28" s="10" t="s">
        <v>197</v>
      </c>
      <c r="J28" s="10" t="s">
        <v>197</v>
      </c>
      <c r="K28" s="6" t="s">
        <v>95</v>
      </c>
    </row>
    <row r="29" spans="1:11" x14ac:dyDescent="0.25">
      <c r="A29" t="s">
        <v>127</v>
      </c>
      <c r="C29" s="6" t="s">
        <v>96</v>
      </c>
      <c r="D29" s="6" t="s">
        <v>96</v>
      </c>
      <c r="E29" s="6" t="s">
        <v>96</v>
      </c>
      <c r="F29" s="6" t="s">
        <v>97</v>
      </c>
      <c r="G29" s="6" t="s">
        <v>97</v>
      </c>
      <c r="H29" s="10" t="s">
        <v>197</v>
      </c>
      <c r="I29" s="10" t="s">
        <v>197</v>
      </c>
      <c r="J29" s="10" t="s">
        <v>197</v>
      </c>
      <c r="K29" s="6" t="s">
        <v>96</v>
      </c>
    </row>
    <row r="30" spans="1:11" x14ac:dyDescent="0.25">
      <c r="A30" t="s">
        <v>128</v>
      </c>
      <c r="C30" s="10" t="s">
        <v>197</v>
      </c>
      <c r="D30" s="10" t="s">
        <v>197</v>
      </c>
      <c r="E30" s="10" t="s">
        <v>197</v>
      </c>
      <c r="F30" s="10" t="s">
        <v>197</v>
      </c>
      <c r="G30" s="10" t="s">
        <v>197</v>
      </c>
      <c r="H30" s="10" t="s">
        <v>197</v>
      </c>
      <c r="I30" s="10" t="s">
        <v>197</v>
      </c>
      <c r="J30" s="10" t="s">
        <v>197</v>
      </c>
      <c r="K30" s="10" t="s">
        <v>197</v>
      </c>
    </row>
    <row r="31" spans="1:11" x14ac:dyDescent="0.25">
      <c r="A31" t="s">
        <v>129</v>
      </c>
      <c r="C31" s="10" t="s">
        <v>197</v>
      </c>
      <c r="D31" s="10" t="s">
        <v>197</v>
      </c>
      <c r="E31" s="10" t="s">
        <v>197</v>
      </c>
      <c r="F31" s="10" t="s">
        <v>197</v>
      </c>
      <c r="G31" s="10" t="s">
        <v>197</v>
      </c>
      <c r="H31" s="10" t="s">
        <v>197</v>
      </c>
      <c r="I31" s="10" t="s">
        <v>197</v>
      </c>
      <c r="J31" s="10" t="s">
        <v>197</v>
      </c>
      <c r="K31" s="10" t="s">
        <v>197</v>
      </c>
    </row>
    <row r="32" spans="1:11" x14ac:dyDescent="0.25">
      <c r="A32" t="s">
        <v>130</v>
      </c>
      <c r="C32" s="6" t="s">
        <v>156</v>
      </c>
      <c r="D32" s="6" t="s">
        <v>156</v>
      </c>
      <c r="E32" s="6" t="s">
        <v>156</v>
      </c>
      <c r="F32" s="6" t="s">
        <v>156</v>
      </c>
      <c r="G32" s="6" t="s">
        <v>203</v>
      </c>
      <c r="H32" s="10" t="s">
        <v>197</v>
      </c>
      <c r="I32" s="10" t="s">
        <v>197</v>
      </c>
      <c r="J32" s="10" t="s">
        <v>197</v>
      </c>
      <c r="K32" s="6" t="s">
        <v>240</v>
      </c>
    </row>
    <row r="33" spans="1:11" x14ac:dyDescent="0.25">
      <c r="A33" t="s">
        <v>131</v>
      </c>
      <c r="C33" s="6" t="s">
        <v>157</v>
      </c>
      <c r="D33" s="6" t="s">
        <v>157</v>
      </c>
      <c r="E33" s="6" t="s">
        <v>157</v>
      </c>
      <c r="F33" s="6" t="s">
        <v>157</v>
      </c>
      <c r="G33" s="6" t="s">
        <v>204</v>
      </c>
      <c r="H33" s="10" t="s">
        <v>197</v>
      </c>
      <c r="I33" s="10" t="s">
        <v>197</v>
      </c>
      <c r="J33" s="10" t="s">
        <v>197</v>
      </c>
      <c r="K33" s="6" t="s">
        <v>241</v>
      </c>
    </row>
    <row r="34" spans="1:11" x14ac:dyDescent="0.25">
      <c r="A34" t="s">
        <v>132</v>
      </c>
      <c r="C34" s="6" t="s">
        <v>164</v>
      </c>
      <c r="D34" s="6" t="s">
        <v>164</v>
      </c>
      <c r="E34" s="6" t="s">
        <v>164</v>
      </c>
      <c r="F34" s="6" t="s">
        <v>164</v>
      </c>
      <c r="G34" s="6">
        <v>15788</v>
      </c>
      <c r="H34" s="10" t="s">
        <v>197</v>
      </c>
      <c r="I34" s="10" t="s">
        <v>197</v>
      </c>
      <c r="J34" s="10" t="s">
        <v>197</v>
      </c>
      <c r="K34" s="6" t="s">
        <v>242</v>
      </c>
    </row>
    <row r="35" spans="1:11" x14ac:dyDescent="0.25">
      <c r="A35" t="s">
        <v>133</v>
      </c>
      <c r="C35" s="6" t="s">
        <v>157</v>
      </c>
      <c r="D35" s="6" t="s">
        <v>157</v>
      </c>
      <c r="E35" s="6" t="s">
        <v>157</v>
      </c>
      <c r="F35" s="6" t="s">
        <v>157</v>
      </c>
      <c r="G35" s="6" t="s">
        <v>204</v>
      </c>
      <c r="H35" s="10" t="s">
        <v>197</v>
      </c>
      <c r="I35" s="10" t="s">
        <v>197</v>
      </c>
      <c r="J35" s="10" t="s">
        <v>197</v>
      </c>
      <c r="K35" s="6" t="s">
        <v>241</v>
      </c>
    </row>
    <row r="36" spans="1:11" x14ac:dyDescent="0.25">
      <c r="A36" t="s">
        <v>134</v>
      </c>
      <c r="C36" s="6" t="s">
        <v>157</v>
      </c>
      <c r="D36" s="6" t="s">
        <v>157</v>
      </c>
      <c r="E36" s="6" t="s">
        <v>157</v>
      </c>
      <c r="F36" s="6" t="s">
        <v>157</v>
      </c>
      <c r="G36" s="6" t="s">
        <v>204</v>
      </c>
      <c r="H36" s="10" t="s">
        <v>197</v>
      </c>
      <c r="I36" s="10" t="s">
        <v>197</v>
      </c>
      <c r="J36" s="10" t="s">
        <v>197</v>
      </c>
      <c r="K36" s="6" t="s">
        <v>241</v>
      </c>
    </row>
    <row r="37" spans="1:11" x14ac:dyDescent="0.25">
      <c r="A37" t="s">
        <v>135</v>
      </c>
      <c r="C37" s="6" t="s">
        <v>158</v>
      </c>
      <c r="D37" s="6" t="s">
        <v>158</v>
      </c>
      <c r="E37" s="6" t="s">
        <v>158</v>
      </c>
      <c r="F37" s="6" t="s">
        <v>158</v>
      </c>
      <c r="G37" s="6" t="s">
        <v>205</v>
      </c>
      <c r="H37" s="10" t="s">
        <v>197</v>
      </c>
      <c r="I37" s="10" t="s">
        <v>197</v>
      </c>
      <c r="J37" s="10" t="s">
        <v>197</v>
      </c>
      <c r="K37" s="6" t="s">
        <v>243</v>
      </c>
    </row>
    <row r="38" spans="1:11" x14ac:dyDescent="0.25">
      <c r="A38" t="s">
        <v>136</v>
      </c>
      <c r="C38" s="6" t="s">
        <v>159</v>
      </c>
      <c r="D38" s="6" t="s">
        <v>159</v>
      </c>
      <c r="E38" s="6" t="s">
        <v>159</v>
      </c>
      <c r="F38" s="6" t="s">
        <v>159</v>
      </c>
      <c r="G38" s="6" t="s">
        <v>206</v>
      </c>
      <c r="H38" s="10" t="s">
        <v>197</v>
      </c>
      <c r="I38" s="10" t="s">
        <v>197</v>
      </c>
      <c r="J38" s="10" t="s">
        <v>197</v>
      </c>
      <c r="K38" s="6" t="s">
        <v>244</v>
      </c>
    </row>
    <row r="39" spans="1:11" x14ac:dyDescent="0.25">
      <c r="A39" t="s">
        <v>137</v>
      </c>
      <c r="C39" s="10" t="s">
        <v>197</v>
      </c>
      <c r="D39" s="10" t="s">
        <v>197</v>
      </c>
      <c r="E39" s="10" t="s">
        <v>197</v>
      </c>
      <c r="F39" s="10" t="s">
        <v>197</v>
      </c>
      <c r="G39" s="10" t="s">
        <v>197</v>
      </c>
      <c r="H39" s="10" t="s">
        <v>197</v>
      </c>
      <c r="I39" s="10" t="s">
        <v>197</v>
      </c>
      <c r="J39" s="10" t="s">
        <v>197</v>
      </c>
      <c r="K39" s="10" t="s">
        <v>197</v>
      </c>
    </row>
    <row r="40" spans="1:11" x14ac:dyDescent="0.25">
      <c r="A40" t="s">
        <v>138</v>
      </c>
      <c r="C40" s="6" t="s">
        <v>160</v>
      </c>
      <c r="D40" s="6" t="s">
        <v>160</v>
      </c>
      <c r="E40" s="6" t="s">
        <v>160</v>
      </c>
      <c r="F40" s="6" t="s">
        <v>160</v>
      </c>
      <c r="G40" s="6" t="s">
        <v>160</v>
      </c>
      <c r="H40" s="10" t="s">
        <v>197</v>
      </c>
      <c r="I40" s="10" t="s">
        <v>197</v>
      </c>
      <c r="J40" s="10" t="s">
        <v>197</v>
      </c>
      <c r="K40" s="6" t="s">
        <v>160</v>
      </c>
    </row>
    <row r="41" spans="1:11" x14ac:dyDescent="0.25">
      <c r="A41" t="s">
        <v>139</v>
      </c>
      <c r="C41" s="6" t="s">
        <v>178</v>
      </c>
      <c r="D41" s="6" t="s">
        <v>166</v>
      </c>
      <c r="E41" s="6" t="s">
        <v>183</v>
      </c>
      <c r="F41" s="6" t="s">
        <v>195</v>
      </c>
      <c r="G41" s="6" t="s">
        <v>207</v>
      </c>
      <c r="H41" s="10" t="s">
        <v>197</v>
      </c>
      <c r="I41" s="10" t="s">
        <v>197</v>
      </c>
      <c r="J41" s="10" t="s">
        <v>197</v>
      </c>
      <c r="K41" s="6" t="s">
        <v>245</v>
      </c>
    </row>
    <row r="42" spans="1:11" x14ac:dyDescent="0.25">
      <c r="A42" t="s">
        <v>140</v>
      </c>
      <c r="C42" s="10" t="s">
        <v>197</v>
      </c>
      <c r="D42" s="10" t="s">
        <v>197</v>
      </c>
      <c r="E42" s="6" t="s">
        <v>183</v>
      </c>
      <c r="F42" s="6" t="s">
        <v>196</v>
      </c>
      <c r="G42" s="6" t="s">
        <v>208</v>
      </c>
      <c r="H42" s="10" t="s">
        <v>197</v>
      </c>
      <c r="I42" s="10" t="s">
        <v>197</v>
      </c>
      <c r="J42" s="10" t="s">
        <v>197</v>
      </c>
      <c r="K42" s="10" t="s">
        <v>197</v>
      </c>
    </row>
    <row r="43" spans="1:11" x14ac:dyDescent="0.25">
      <c r="A43" t="s">
        <v>141</v>
      </c>
      <c r="C43" s="10" t="s">
        <v>197</v>
      </c>
      <c r="D43" s="6" t="s">
        <v>167</v>
      </c>
      <c r="E43" s="10" t="s">
        <v>197</v>
      </c>
      <c r="F43" s="10" t="s">
        <v>197</v>
      </c>
      <c r="G43" s="10" t="s">
        <v>197</v>
      </c>
      <c r="H43" s="10" t="s">
        <v>197</v>
      </c>
      <c r="I43" s="10" t="s">
        <v>197</v>
      </c>
      <c r="J43" s="10" t="s">
        <v>197</v>
      </c>
      <c r="K43" s="10" t="s">
        <v>197</v>
      </c>
    </row>
    <row r="44" spans="1:11" x14ac:dyDescent="0.25">
      <c r="A44" t="s">
        <v>170</v>
      </c>
      <c r="C44" s="10" t="s">
        <v>197</v>
      </c>
      <c r="D44" s="6" t="s">
        <v>95</v>
      </c>
      <c r="E44" s="10" t="s">
        <v>197</v>
      </c>
      <c r="F44" s="10" t="s">
        <v>197</v>
      </c>
      <c r="G44" s="10" t="s">
        <v>197</v>
      </c>
      <c r="H44" s="10" t="s">
        <v>197</v>
      </c>
      <c r="I44" s="10" t="s">
        <v>197</v>
      </c>
      <c r="J44" s="10" t="s">
        <v>197</v>
      </c>
      <c r="K44" s="10" t="s">
        <v>197</v>
      </c>
    </row>
    <row r="45" spans="1:11" x14ac:dyDescent="0.25">
      <c r="A45" t="s">
        <v>169</v>
      </c>
      <c r="C45" s="10" t="s">
        <v>197</v>
      </c>
      <c r="D45" s="6" t="s">
        <v>168</v>
      </c>
      <c r="E45" s="10" t="s">
        <v>197</v>
      </c>
      <c r="F45" s="10" t="s">
        <v>197</v>
      </c>
      <c r="G45" s="10" t="s">
        <v>197</v>
      </c>
      <c r="H45" s="10" t="s">
        <v>197</v>
      </c>
      <c r="I45" s="10" t="s">
        <v>197</v>
      </c>
      <c r="J45" s="10" t="s">
        <v>197</v>
      </c>
      <c r="K45" s="10" t="s">
        <v>197</v>
      </c>
    </row>
    <row r="46" spans="1:11" x14ac:dyDescent="0.25">
      <c r="A46" t="s">
        <v>105</v>
      </c>
      <c r="C46" s="10" t="s">
        <v>197</v>
      </c>
      <c r="D46" s="6" t="s">
        <v>95</v>
      </c>
      <c r="E46" s="10" t="s">
        <v>197</v>
      </c>
      <c r="F46" s="10" t="s">
        <v>197</v>
      </c>
      <c r="G46" s="10" t="s">
        <v>197</v>
      </c>
      <c r="H46" s="10" t="s">
        <v>197</v>
      </c>
      <c r="I46" s="10" t="s">
        <v>197</v>
      </c>
      <c r="J46" s="10" t="s">
        <v>197</v>
      </c>
      <c r="K46" s="10" t="s">
        <v>197</v>
      </c>
    </row>
    <row r="47" spans="1:11" x14ac:dyDescent="0.25">
      <c r="A47" t="s">
        <v>106</v>
      </c>
      <c r="C47" s="10" t="s">
        <v>197</v>
      </c>
      <c r="D47" s="6" t="s">
        <v>171</v>
      </c>
      <c r="E47" s="10" t="s">
        <v>197</v>
      </c>
      <c r="F47" s="10" t="s">
        <v>197</v>
      </c>
      <c r="G47" s="10" t="s">
        <v>197</v>
      </c>
      <c r="H47" s="10" t="s">
        <v>197</v>
      </c>
      <c r="I47" s="10" t="s">
        <v>197</v>
      </c>
      <c r="J47" s="10" t="s">
        <v>197</v>
      </c>
      <c r="K47" s="10" t="s">
        <v>197</v>
      </c>
    </row>
    <row r="48" spans="1:11" x14ac:dyDescent="0.25">
      <c r="A48" t="s">
        <v>26</v>
      </c>
      <c r="C48" s="6" t="s">
        <v>172</v>
      </c>
      <c r="D48" s="6" t="s">
        <v>172</v>
      </c>
      <c r="E48" s="6" t="s">
        <v>172</v>
      </c>
      <c r="F48" s="6" t="s">
        <v>172</v>
      </c>
      <c r="G48" s="6" t="s">
        <v>172</v>
      </c>
      <c r="H48" s="6" t="s">
        <v>172</v>
      </c>
      <c r="I48" s="6" t="s">
        <v>172</v>
      </c>
      <c r="J48" s="6" t="s">
        <v>218</v>
      </c>
      <c r="K48" s="6" t="s">
        <v>172</v>
      </c>
    </row>
    <row r="49" spans="1:11" x14ac:dyDescent="0.25">
      <c r="A49" t="s">
        <v>107</v>
      </c>
      <c r="D49" s="6" t="s">
        <v>173</v>
      </c>
      <c r="E49" s="6" t="s">
        <v>173</v>
      </c>
      <c r="F49" s="6" t="s">
        <v>173</v>
      </c>
      <c r="G49" s="6" t="s">
        <v>173</v>
      </c>
      <c r="H49" s="6" t="s">
        <v>173</v>
      </c>
      <c r="I49" s="6" t="s">
        <v>173</v>
      </c>
      <c r="J49" s="6" t="s">
        <v>219</v>
      </c>
      <c r="K49" s="6" t="s">
        <v>173</v>
      </c>
    </row>
    <row r="50" spans="1:11" x14ac:dyDescent="0.25">
      <c r="A50" t="s">
        <v>108</v>
      </c>
      <c r="C50" s="6" t="s">
        <v>174</v>
      </c>
      <c r="D50" s="6" t="s">
        <v>174</v>
      </c>
      <c r="E50" s="6" t="s">
        <v>174</v>
      </c>
      <c r="F50" s="6" t="s">
        <v>174</v>
      </c>
      <c r="G50" s="6" t="s">
        <v>174</v>
      </c>
      <c r="H50" s="6" t="s">
        <v>174</v>
      </c>
      <c r="I50" s="6" t="s">
        <v>174</v>
      </c>
      <c r="J50" s="6" t="s">
        <v>174</v>
      </c>
      <c r="K50" s="6" t="s">
        <v>174</v>
      </c>
    </row>
    <row r="51" spans="1:11" x14ac:dyDescent="0.25">
      <c r="A51" t="s">
        <v>109</v>
      </c>
      <c r="C51" s="6" t="s">
        <v>175</v>
      </c>
      <c r="D51" s="6" t="s">
        <v>175</v>
      </c>
      <c r="E51" s="6" t="s">
        <v>175</v>
      </c>
      <c r="F51" s="6" t="s">
        <v>175</v>
      </c>
      <c r="G51" s="6" t="s">
        <v>175</v>
      </c>
      <c r="H51" s="6" t="s">
        <v>175</v>
      </c>
      <c r="I51" s="6" t="s">
        <v>175</v>
      </c>
      <c r="J51" s="6" t="s">
        <v>175</v>
      </c>
      <c r="K51" s="6" t="s">
        <v>175</v>
      </c>
    </row>
    <row r="52" spans="1:11" x14ac:dyDescent="0.25">
      <c r="A52" t="s">
        <v>110</v>
      </c>
      <c r="C52" s="6" t="s">
        <v>176</v>
      </c>
      <c r="D52" s="6" t="s">
        <v>176</v>
      </c>
      <c r="E52" s="6" t="s">
        <v>176</v>
      </c>
      <c r="F52" s="6" t="s">
        <v>176</v>
      </c>
      <c r="G52" s="6" t="s">
        <v>176</v>
      </c>
      <c r="H52" s="6" t="s">
        <v>176</v>
      </c>
      <c r="I52" s="6" t="s">
        <v>176</v>
      </c>
      <c r="J52" s="6" t="s">
        <v>176</v>
      </c>
      <c r="K52" s="6" t="s">
        <v>176</v>
      </c>
    </row>
    <row r="53" spans="1:11" x14ac:dyDescent="0.25">
      <c r="A53" t="s">
        <v>111</v>
      </c>
      <c r="C53" s="6" t="s">
        <v>177</v>
      </c>
      <c r="D53" s="6" t="s">
        <v>177</v>
      </c>
      <c r="E53" s="6" t="s">
        <v>177</v>
      </c>
      <c r="F53" s="6" t="s">
        <v>177</v>
      </c>
      <c r="G53" s="6" t="s">
        <v>177</v>
      </c>
      <c r="H53" s="6" t="s">
        <v>177</v>
      </c>
      <c r="I53" s="6" t="s">
        <v>177</v>
      </c>
      <c r="J53" s="6" t="s">
        <v>220</v>
      </c>
      <c r="K53" s="6" t="s">
        <v>246</v>
      </c>
    </row>
    <row r="54" spans="1:11" x14ac:dyDescent="0.25">
      <c r="G54" s="6"/>
    </row>
  </sheetData>
  <phoneticPr fontId="4" type="noConversion"/>
  <pageMargins left="0.25" right="0.25" top="0.75" bottom="0.75" header="0.3" footer="0.3"/>
  <pageSetup scale="4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16DE1-91F8-4EAC-BC40-2553AC5DC2B4}">
  <sheetPr>
    <pageSetUpPr fitToPage="1"/>
  </sheetPr>
  <dimension ref="A1:AC54"/>
  <sheetViews>
    <sheetView workbookViewId="0">
      <pane xSplit="1" topLeftCell="B1" activePane="topRight" state="frozen"/>
      <selection activeCell="A10" sqref="A10"/>
      <selection pane="topRight" activeCell="I4" sqref="I4"/>
    </sheetView>
  </sheetViews>
  <sheetFormatPr defaultRowHeight="15.75" x14ac:dyDescent="0.25"/>
  <cols>
    <col min="1" max="1" width="26" bestFit="1" customWidth="1"/>
    <col min="3" max="5" width="31.25" style="6" bestFit="1" customWidth="1"/>
    <col min="6" max="6" width="32.375" style="6" bestFit="1" customWidth="1"/>
    <col min="7" max="7" width="31.125" style="1" customWidth="1"/>
    <col min="8" max="8" width="33.875" style="6" customWidth="1"/>
    <col min="9" max="10" width="31.25" bestFit="1" customWidth="1"/>
    <col min="11" max="11" width="37.125" style="6" customWidth="1"/>
  </cols>
  <sheetData>
    <row r="1" spans="1:29" s="9" customFormat="1" ht="16.5" thickBot="1" x14ac:dyDescent="0.3">
      <c r="A1" s="12" t="s">
        <v>99</v>
      </c>
      <c r="B1" s="12"/>
      <c r="C1" s="13" t="s">
        <v>161</v>
      </c>
      <c r="D1" s="13" t="s">
        <v>162</v>
      </c>
      <c r="E1" s="13" t="s">
        <v>184</v>
      </c>
      <c r="F1" s="13" t="s">
        <v>185</v>
      </c>
      <c r="G1" s="13" t="s">
        <v>198</v>
      </c>
      <c r="H1" s="13" t="s">
        <v>215</v>
      </c>
      <c r="I1" s="12"/>
      <c r="J1" s="13" t="s">
        <v>213</v>
      </c>
      <c r="K1" s="14" t="s">
        <v>231</v>
      </c>
    </row>
    <row r="2" spans="1:29" ht="16.5" thickTop="1" x14ac:dyDescent="0.25">
      <c r="A2" s="9" t="s">
        <v>101</v>
      </c>
      <c r="C2" s="6">
        <v>5259</v>
      </c>
      <c r="D2" s="6">
        <v>5258</v>
      </c>
      <c r="E2" s="6">
        <v>5255</v>
      </c>
      <c r="F2" s="6">
        <v>5189</v>
      </c>
      <c r="G2" s="6">
        <v>4683</v>
      </c>
      <c r="H2" s="6" t="s">
        <v>209</v>
      </c>
      <c r="I2" s="6">
        <v>64</v>
      </c>
      <c r="J2" s="6">
        <v>8</v>
      </c>
      <c r="K2" s="6" t="s">
        <v>232</v>
      </c>
    </row>
    <row r="3" spans="1:29" x14ac:dyDescent="0.25">
      <c r="A3" t="s">
        <v>100</v>
      </c>
      <c r="C3" s="6">
        <v>11</v>
      </c>
      <c r="D3" s="6">
        <v>10</v>
      </c>
      <c r="E3" s="6">
        <v>9</v>
      </c>
      <c r="F3" s="6" t="s">
        <v>186</v>
      </c>
      <c r="G3" s="6">
        <v>7</v>
      </c>
      <c r="H3" s="6" t="s">
        <v>210</v>
      </c>
      <c r="I3" s="6">
        <v>5</v>
      </c>
      <c r="J3" s="6">
        <v>4</v>
      </c>
      <c r="K3" s="6" t="s">
        <v>233</v>
      </c>
    </row>
    <row r="4" spans="1:29" x14ac:dyDescent="0.25">
      <c r="A4" t="s">
        <v>20</v>
      </c>
      <c r="C4" s="15" t="s">
        <v>248</v>
      </c>
      <c r="D4" s="15" t="s">
        <v>247</v>
      </c>
      <c r="E4" s="6" t="s">
        <v>250</v>
      </c>
      <c r="F4" s="6" t="s">
        <v>251</v>
      </c>
      <c r="G4" s="6" t="s">
        <v>249</v>
      </c>
      <c r="H4" s="6" t="s">
        <v>252</v>
      </c>
      <c r="I4" s="6" t="s">
        <v>253</v>
      </c>
      <c r="J4" s="6" t="s">
        <v>213</v>
      </c>
      <c r="K4" s="6" t="s">
        <v>234</v>
      </c>
    </row>
    <row r="5" spans="1:29" x14ac:dyDescent="0.25">
      <c r="A5" t="s">
        <v>102</v>
      </c>
      <c r="C5" s="1" t="str">
        <f>LEFT(C4,6)</f>
        <v>B6N7K2</v>
      </c>
      <c r="D5" s="1" t="str">
        <f t="shared" ref="D5:I5" si="0">LEFT(D4,6)</f>
        <v>B6N7K2</v>
      </c>
      <c r="E5" s="1" t="str">
        <f t="shared" si="0"/>
        <v>YT7G8K</v>
      </c>
      <c r="F5" s="1" t="str">
        <f t="shared" si="0"/>
        <v>PLI85E</v>
      </c>
      <c r="G5" s="1" t="str">
        <f t="shared" si="0"/>
        <v>JJHT4S</v>
      </c>
      <c r="H5" s="1" t="str">
        <f t="shared" si="0"/>
        <v>XVT23D</v>
      </c>
      <c r="I5" s="1" t="str">
        <f t="shared" si="0"/>
        <v>QW3T5S</v>
      </c>
      <c r="J5" s="10" t="s">
        <v>197</v>
      </c>
      <c r="K5" s="6" t="str">
        <f t="shared" ref="K5:AC5" si="1">LEFT(K4,6)</f>
        <v>Z1L47Z</v>
      </c>
      <c r="L5" s="1" t="str">
        <f t="shared" si="1"/>
        <v/>
      </c>
      <c r="M5" s="1" t="str">
        <f t="shared" si="1"/>
        <v/>
      </c>
      <c r="N5" s="1" t="str">
        <f t="shared" si="1"/>
        <v/>
      </c>
      <c r="O5" s="1" t="str">
        <f t="shared" si="1"/>
        <v/>
      </c>
      <c r="P5" s="1" t="str">
        <f t="shared" si="1"/>
        <v/>
      </c>
      <c r="Q5" s="1" t="str">
        <f t="shared" si="1"/>
        <v/>
      </c>
      <c r="R5" s="1" t="str">
        <f t="shared" si="1"/>
        <v/>
      </c>
      <c r="S5" s="1" t="str">
        <f t="shared" si="1"/>
        <v/>
      </c>
      <c r="T5" s="1" t="str">
        <f t="shared" si="1"/>
        <v/>
      </c>
      <c r="U5" s="1" t="str">
        <f t="shared" si="1"/>
        <v/>
      </c>
      <c r="V5" s="1" t="str">
        <f t="shared" si="1"/>
        <v/>
      </c>
      <c r="W5" s="1" t="str">
        <f t="shared" si="1"/>
        <v/>
      </c>
      <c r="X5" s="1" t="str">
        <f t="shared" si="1"/>
        <v/>
      </c>
      <c r="Y5" s="1" t="str">
        <f t="shared" si="1"/>
        <v/>
      </c>
      <c r="Z5" s="1" t="str">
        <f t="shared" si="1"/>
        <v/>
      </c>
      <c r="AA5" s="1" t="str">
        <f t="shared" si="1"/>
        <v/>
      </c>
      <c r="AB5" s="1" t="str">
        <f t="shared" si="1"/>
        <v/>
      </c>
      <c r="AC5" s="1" t="str">
        <f t="shared" si="1"/>
        <v/>
      </c>
    </row>
    <row r="6" spans="1:29" x14ac:dyDescent="0.25">
      <c r="A6" t="s">
        <v>103</v>
      </c>
      <c r="C6" s="1" t="str">
        <f>RIGHT(C4,4)</f>
        <v>DF20</v>
      </c>
      <c r="D6" s="1" t="str">
        <f t="shared" ref="D6:AC6" si="2">RIGHT(D4,4)</f>
        <v>2H1L</v>
      </c>
      <c r="E6" s="1" t="str">
        <f t="shared" si="2"/>
        <v>8HYF</v>
      </c>
      <c r="F6" s="1" t="str">
        <f t="shared" si="2"/>
        <v>8HYF</v>
      </c>
      <c r="G6" s="1" t="str">
        <f t="shared" si="2"/>
        <v>8HYF</v>
      </c>
      <c r="H6" s="1" t="str">
        <f t="shared" si="2"/>
        <v>8HYF</v>
      </c>
      <c r="I6" s="1" t="str">
        <f t="shared" si="2"/>
        <v>8HYF</v>
      </c>
      <c r="J6" s="10" t="s">
        <v>197</v>
      </c>
      <c r="K6" s="6" t="str">
        <f t="shared" si="2"/>
        <v>3GR8</v>
      </c>
      <c r="L6" s="1" t="str">
        <f t="shared" si="2"/>
        <v/>
      </c>
      <c r="M6" s="1" t="str">
        <f t="shared" si="2"/>
        <v/>
      </c>
      <c r="N6" s="1" t="str">
        <f t="shared" si="2"/>
        <v/>
      </c>
      <c r="O6" s="1" t="str">
        <f t="shared" si="2"/>
        <v/>
      </c>
      <c r="P6" s="1" t="str">
        <f t="shared" si="2"/>
        <v/>
      </c>
      <c r="Q6" s="1" t="str">
        <f t="shared" si="2"/>
        <v/>
      </c>
      <c r="R6" s="1" t="str">
        <f t="shared" si="2"/>
        <v/>
      </c>
      <c r="S6" s="1" t="str">
        <f t="shared" si="2"/>
        <v/>
      </c>
      <c r="T6" s="1" t="str">
        <f t="shared" si="2"/>
        <v/>
      </c>
      <c r="U6" s="1" t="str">
        <f t="shared" si="2"/>
        <v/>
      </c>
      <c r="V6" s="1" t="str">
        <f t="shared" si="2"/>
        <v/>
      </c>
      <c r="W6" s="1" t="str">
        <f t="shared" si="2"/>
        <v/>
      </c>
      <c r="X6" s="1" t="str">
        <f t="shared" si="2"/>
        <v/>
      </c>
      <c r="Y6" s="1" t="str">
        <f t="shared" si="2"/>
        <v/>
      </c>
      <c r="Z6" s="1" t="str">
        <f t="shared" si="2"/>
        <v/>
      </c>
      <c r="AA6" s="1" t="str">
        <f t="shared" si="2"/>
        <v/>
      </c>
      <c r="AB6" s="1" t="str">
        <f t="shared" si="2"/>
        <v/>
      </c>
      <c r="AC6" s="1" t="str">
        <f t="shared" si="2"/>
        <v/>
      </c>
    </row>
    <row r="7" spans="1:29" x14ac:dyDescent="0.25">
      <c r="A7" t="s">
        <v>21</v>
      </c>
      <c r="C7" s="6" t="s">
        <v>24</v>
      </c>
      <c r="D7" s="6" t="s">
        <v>24</v>
      </c>
      <c r="E7" s="6" t="s">
        <v>24</v>
      </c>
      <c r="F7" s="6" t="s">
        <v>187</v>
      </c>
      <c r="G7" s="6" t="s">
        <v>24</v>
      </c>
      <c r="H7" s="10" t="s">
        <v>197</v>
      </c>
      <c r="I7" s="10" t="s">
        <v>197</v>
      </c>
      <c r="J7" s="10" t="s">
        <v>197</v>
      </c>
      <c r="K7" s="6" t="s">
        <v>24</v>
      </c>
    </row>
    <row r="8" spans="1:29" x14ac:dyDescent="0.25">
      <c r="A8" t="s">
        <v>104</v>
      </c>
      <c r="K8" s="1"/>
    </row>
    <row r="9" spans="1:29" x14ac:dyDescent="0.25">
      <c r="A9" t="s">
        <v>22</v>
      </c>
      <c r="C9" s="6" t="s">
        <v>143</v>
      </c>
      <c r="D9" s="6" t="s">
        <v>250</v>
      </c>
      <c r="E9" s="6" t="s">
        <v>251</v>
      </c>
      <c r="F9" s="6" t="s">
        <v>249</v>
      </c>
      <c r="G9" s="6" t="s">
        <v>252</v>
      </c>
      <c r="H9" s="6" t="s">
        <v>253</v>
      </c>
      <c r="I9" s="6" t="s">
        <v>213</v>
      </c>
      <c r="J9" s="11" t="s">
        <v>216</v>
      </c>
      <c r="K9" s="6" t="s">
        <v>235</v>
      </c>
    </row>
    <row r="10" spans="1:29" x14ac:dyDescent="0.25">
      <c r="A10" t="s">
        <v>112</v>
      </c>
      <c r="K10" s="1"/>
    </row>
    <row r="11" spans="1:29" x14ac:dyDescent="0.25">
      <c r="A11" t="s">
        <v>113</v>
      </c>
      <c r="C11" s="6" t="s">
        <v>249</v>
      </c>
      <c r="D11" s="6" t="s">
        <v>249</v>
      </c>
      <c r="E11" s="6" t="s">
        <v>249</v>
      </c>
      <c r="F11" s="6" t="s">
        <v>249</v>
      </c>
      <c r="G11" s="6" t="s">
        <v>249</v>
      </c>
      <c r="H11" s="10" t="s">
        <v>197</v>
      </c>
      <c r="I11" s="10" t="s">
        <v>197</v>
      </c>
      <c r="J11" s="10" t="s">
        <v>197</v>
      </c>
      <c r="K11" s="6" t="s">
        <v>236</v>
      </c>
    </row>
    <row r="12" spans="1:29" x14ac:dyDescent="0.25">
      <c r="A12" t="s">
        <v>114</v>
      </c>
      <c r="C12" s="6" t="s">
        <v>145</v>
      </c>
      <c r="D12" s="6" t="s">
        <v>145</v>
      </c>
      <c r="E12" s="6" t="s">
        <v>145</v>
      </c>
      <c r="F12" s="6" t="s">
        <v>145</v>
      </c>
      <c r="G12" s="6" t="s">
        <v>145</v>
      </c>
      <c r="H12" s="10" t="s">
        <v>197</v>
      </c>
      <c r="I12" s="10" t="s">
        <v>197</v>
      </c>
      <c r="J12" s="10" t="s">
        <v>197</v>
      </c>
      <c r="K12" s="6" t="s">
        <v>237</v>
      </c>
    </row>
    <row r="13" spans="1:29" x14ac:dyDescent="0.25">
      <c r="A13" t="s">
        <v>115</v>
      </c>
      <c r="C13" s="6" t="s">
        <v>146</v>
      </c>
      <c r="D13" s="6" t="s">
        <v>146</v>
      </c>
      <c r="E13" s="6" t="s">
        <v>146</v>
      </c>
      <c r="F13" s="6" t="s">
        <v>146</v>
      </c>
      <c r="G13" s="6" t="s">
        <v>146</v>
      </c>
      <c r="H13" s="10" t="s">
        <v>197</v>
      </c>
      <c r="I13" s="10" t="s">
        <v>197</v>
      </c>
      <c r="J13" s="10" t="s">
        <v>197</v>
      </c>
      <c r="K13" s="6" t="s">
        <v>238</v>
      </c>
    </row>
    <row r="14" spans="1:29" x14ac:dyDescent="0.25">
      <c r="A14" t="s">
        <v>42</v>
      </c>
      <c r="C14" s="10" t="s">
        <v>197</v>
      </c>
      <c r="D14" s="6" t="s">
        <v>165</v>
      </c>
      <c r="E14" s="10" t="s">
        <v>197</v>
      </c>
      <c r="F14" s="10" t="s">
        <v>197</v>
      </c>
      <c r="G14" s="10" t="s">
        <v>197</v>
      </c>
      <c r="H14" s="10" t="s">
        <v>197</v>
      </c>
      <c r="I14" s="10" t="s">
        <v>197</v>
      </c>
      <c r="J14" s="10" t="s">
        <v>197</v>
      </c>
      <c r="K14" s="10" t="s">
        <v>197</v>
      </c>
    </row>
    <row r="15" spans="1:29" x14ac:dyDescent="0.25">
      <c r="A15" t="s">
        <v>13</v>
      </c>
      <c r="C15" s="6" t="s">
        <v>147</v>
      </c>
      <c r="D15" s="6" t="s">
        <v>147</v>
      </c>
      <c r="E15" s="6" t="s">
        <v>147</v>
      </c>
      <c r="F15" s="6" t="s">
        <v>147</v>
      </c>
      <c r="G15" s="6" t="s">
        <v>147</v>
      </c>
      <c r="H15" s="6" t="s">
        <v>147</v>
      </c>
      <c r="I15" s="6" t="s">
        <v>147</v>
      </c>
      <c r="J15" s="6" t="s">
        <v>217</v>
      </c>
      <c r="K15" s="6" t="s">
        <v>147</v>
      </c>
    </row>
    <row r="16" spans="1:29" x14ac:dyDescent="0.25">
      <c r="A16" t="s">
        <v>14</v>
      </c>
      <c r="C16" s="6">
        <v>1</v>
      </c>
      <c r="D16" s="6">
        <v>1</v>
      </c>
      <c r="E16" s="6">
        <v>1</v>
      </c>
      <c r="F16" s="6">
        <v>1</v>
      </c>
      <c r="G16" s="6">
        <v>1</v>
      </c>
      <c r="H16" s="10" t="s">
        <v>197</v>
      </c>
      <c r="I16" s="10" t="s">
        <v>197</v>
      </c>
      <c r="J16" s="10" t="s">
        <v>197</v>
      </c>
      <c r="K16" s="6">
        <v>1</v>
      </c>
    </row>
    <row r="17" spans="1:11" x14ac:dyDescent="0.25">
      <c r="A17" t="s">
        <v>52</v>
      </c>
      <c r="C17" s="6" t="s">
        <v>53</v>
      </c>
      <c r="D17" s="6" t="s">
        <v>53</v>
      </c>
      <c r="E17" s="6" t="s">
        <v>53</v>
      </c>
      <c r="F17" s="6" t="s">
        <v>53</v>
      </c>
      <c r="G17" s="6" t="s">
        <v>53</v>
      </c>
      <c r="H17" s="10" t="s">
        <v>197</v>
      </c>
      <c r="I17" s="10" t="s">
        <v>197</v>
      </c>
      <c r="J17" s="10" t="s">
        <v>197</v>
      </c>
      <c r="K17" s="6" t="s">
        <v>53</v>
      </c>
    </row>
    <row r="18" spans="1:11" x14ac:dyDescent="0.25">
      <c r="A18" t="s">
        <v>116</v>
      </c>
      <c r="C18" s="6" t="s">
        <v>148</v>
      </c>
      <c r="D18" s="6" t="s">
        <v>148</v>
      </c>
      <c r="E18" s="6" t="s">
        <v>148</v>
      </c>
      <c r="F18" s="6" t="s">
        <v>188</v>
      </c>
      <c r="G18" s="6" t="s">
        <v>188</v>
      </c>
      <c r="H18" s="6" t="s">
        <v>188</v>
      </c>
      <c r="I18" s="6" t="s">
        <v>188</v>
      </c>
      <c r="J18" s="6" t="s">
        <v>188</v>
      </c>
      <c r="K18" s="6" t="s">
        <v>148</v>
      </c>
    </row>
    <row r="19" spans="1:11" x14ac:dyDescent="0.25">
      <c r="A19" t="s">
        <v>117</v>
      </c>
      <c r="C19" s="6" t="s">
        <v>149</v>
      </c>
      <c r="D19" s="6" t="s">
        <v>149</v>
      </c>
      <c r="E19" s="6" t="s">
        <v>149</v>
      </c>
      <c r="F19" s="10" t="s">
        <v>197</v>
      </c>
      <c r="G19" s="10" t="s">
        <v>197</v>
      </c>
      <c r="H19" s="10" t="s">
        <v>197</v>
      </c>
      <c r="I19" s="10" t="s">
        <v>197</v>
      </c>
      <c r="J19" s="10" t="s">
        <v>197</v>
      </c>
      <c r="K19" s="11" t="s">
        <v>149</v>
      </c>
    </row>
    <row r="20" spans="1:11" x14ac:dyDescent="0.25">
      <c r="A20" t="s">
        <v>118</v>
      </c>
      <c r="C20" s="6" t="s">
        <v>150</v>
      </c>
      <c r="D20" s="6" t="s">
        <v>150</v>
      </c>
      <c r="E20" s="6" t="s">
        <v>150</v>
      </c>
      <c r="F20" s="6" t="s">
        <v>189</v>
      </c>
      <c r="G20" s="6" t="s">
        <v>189</v>
      </c>
      <c r="H20" s="6" t="s">
        <v>189</v>
      </c>
      <c r="I20" s="6" t="s">
        <v>189</v>
      </c>
      <c r="J20" s="6" t="s">
        <v>189</v>
      </c>
      <c r="K20" s="6" t="s">
        <v>150</v>
      </c>
    </row>
    <row r="21" spans="1:11" x14ac:dyDescent="0.25">
      <c r="A21" t="s">
        <v>119</v>
      </c>
      <c r="C21" s="6" t="s">
        <v>151</v>
      </c>
      <c r="D21" s="6" t="s">
        <v>36</v>
      </c>
      <c r="E21" s="6" t="s">
        <v>180</v>
      </c>
      <c r="F21" s="6" t="s">
        <v>190</v>
      </c>
      <c r="G21" s="6" t="s">
        <v>200</v>
      </c>
      <c r="H21" s="6" t="s">
        <v>211</v>
      </c>
      <c r="I21" s="11" t="s">
        <v>214</v>
      </c>
      <c r="J21" s="11" t="s">
        <v>214</v>
      </c>
      <c r="K21" s="6" t="s">
        <v>151</v>
      </c>
    </row>
    <row r="22" spans="1:11" x14ac:dyDescent="0.25">
      <c r="A22" t="s">
        <v>120</v>
      </c>
      <c r="C22" s="6" t="s">
        <v>2</v>
      </c>
      <c r="D22" s="6" t="s">
        <v>2</v>
      </c>
      <c r="E22" s="6" t="s">
        <v>2</v>
      </c>
      <c r="F22" s="6" t="s">
        <v>191</v>
      </c>
      <c r="G22" s="6" t="s">
        <v>87</v>
      </c>
      <c r="H22" s="10" t="s">
        <v>197</v>
      </c>
      <c r="I22" s="10" t="s">
        <v>197</v>
      </c>
      <c r="J22" s="10" t="s">
        <v>197</v>
      </c>
      <c r="K22" s="6" t="s">
        <v>191</v>
      </c>
    </row>
    <row r="23" spans="1:11" x14ac:dyDescent="0.25">
      <c r="A23" t="s">
        <v>121</v>
      </c>
      <c r="C23" s="6" t="s">
        <v>84</v>
      </c>
      <c r="D23" s="6" t="s">
        <v>84</v>
      </c>
      <c r="E23" s="6" t="s">
        <v>84</v>
      </c>
      <c r="F23" s="6" t="s">
        <v>192</v>
      </c>
      <c r="G23" s="6" t="s">
        <v>88</v>
      </c>
      <c r="H23" s="10" t="s">
        <v>197</v>
      </c>
      <c r="I23" s="10" t="s">
        <v>197</v>
      </c>
      <c r="J23" s="10" t="s">
        <v>197</v>
      </c>
      <c r="K23" s="6" t="s">
        <v>192</v>
      </c>
    </row>
    <row r="24" spans="1:11" x14ac:dyDescent="0.25">
      <c r="A24" t="s">
        <v>122</v>
      </c>
      <c r="C24" s="6" t="s">
        <v>152</v>
      </c>
      <c r="D24" s="6" t="s">
        <v>152</v>
      </c>
      <c r="E24" s="6" t="s">
        <v>152</v>
      </c>
      <c r="F24" s="10" t="s">
        <v>197</v>
      </c>
      <c r="G24" s="6" t="s">
        <v>202</v>
      </c>
      <c r="H24" s="10" t="s">
        <v>197</v>
      </c>
      <c r="I24" s="10" t="s">
        <v>197</v>
      </c>
      <c r="J24" s="10" t="s">
        <v>197</v>
      </c>
      <c r="K24" s="6" t="s">
        <v>239</v>
      </c>
    </row>
    <row r="25" spans="1:11" x14ac:dyDescent="0.25">
      <c r="A25" t="s">
        <v>123</v>
      </c>
      <c r="C25" s="6" t="s">
        <v>153</v>
      </c>
      <c r="D25" s="6" t="s">
        <v>153</v>
      </c>
      <c r="E25" s="6" t="s">
        <v>181</v>
      </c>
      <c r="F25" s="10" t="s">
        <v>197</v>
      </c>
      <c r="G25" s="6" t="s">
        <v>181</v>
      </c>
      <c r="H25" s="10" t="s">
        <v>197</v>
      </c>
      <c r="I25" s="10" t="s">
        <v>197</v>
      </c>
      <c r="J25" s="10" t="s">
        <v>197</v>
      </c>
      <c r="K25" s="6" t="s">
        <v>153</v>
      </c>
    </row>
    <row r="26" spans="1:11" x14ac:dyDescent="0.25">
      <c r="A26" t="s">
        <v>124</v>
      </c>
      <c r="C26" s="6" t="s">
        <v>154</v>
      </c>
      <c r="D26" s="6" t="s">
        <v>36</v>
      </c>
      <c r="E26" s="6" t="s">
        <v>180</v>
      </c>
      <c r="F26" s="6" t="s">
        <v>193</v>
      </c>
      <c r="G26" s="6" t="s">
        <v>193</v>
      </c>
      <c r="H26" s="10" t="s">
        <v>197</v>
      </c>
      <c r="I26" s="10" t="s">
        <v>197</v>
      </c>
      <c r="J26" s="10" t="s">
        <v>197</v>
      </c>
      <c r="K26" s="6" t="s">
        <v>154</v>
      </c>
    </row>
    <row r="27" spans="1:11" x14ac:dyDescent="0.25">
      <c r="A27" t="s">
        <v>125</v>
      </c>
      <c r="C27" s="6" t="s">
        <v>155</v>
      </c>
      <c r="D27" s="6" t="s">
        <v>37</v>
      </c>
      <c r="E27" s="6" t="s">
        <v>182</v>
      </c>
      <c r="F27" s="6" t="s">
        <v>194</v>
      </c>
      <c r="G27" s="6" t="s">
        <v>194</v>
      </c>
      <c r="H27" s="10" t="s">
        <v>197</v>
      </c>
      <c r="I27" s="10" t="s">
        <v>197</v>
      </c>
      <c r="J27" s="10" t="s">
        <v>197</v>
      </c>
      <c r="K27" s="6" t="s">
        <v>155</v>
      </c>
    </row>
    <row r="28" spans="1:11" x14ac:dyDescent="0.25">
      <c r="A28" t="s">
        <v>126</v>
      </c>
      <c r="C28" s="6">
        <v>0</v>
      </c>
      <c r="D28" s="6">
        <v>0</v>
      </c>
      <c r="E28" s="6">
        <v>0</v>
      </c>
      <c r="F28" s="6" t="s">
        <v>83</v>
      </c>
      <c r="G28" s="6" t="s">
        <v>83</v>
      </c>
      <c r="H28" s="10" t="s">
        <v>197</v>
      </c>
      <c r="I28" s="10" t="s">
        <v>197</v>
      </c>
      <c r="J28" s="10" t="s">
        <v>197</v>
      </c>
      <c r="K28" s="6" t="s">
        <v>95</v>
      </c>
    </row>
    <row r="29" spans="1:11" x14ac:dyDescent="0.25">
      <c r="A29" t="s">
        <v>127</v>
      </c>
      <c r="C29" s="6" t="s">
        <v>96</v>
      </c>
      <c r="D29" s="6" t="s">
        <v>96</v>
      </c>
      <c r="E29" s="6" t="s">
        <v>96</v>
      </c>
      <c r="F29" s="6" t="s">
        <v>97</v>
      </c>
      <c r="G29" s="6" t="s">
        <v>97</v>
      </c>
      <c r="H29" s="10" t="s">
        <v>197</v>
      </c>
      <c r="I29" s="10" t="s">
        <v>197</v>
      </c>
      <c r="J29" s="10" t="s">
        <v>197</v>
      </c>
      <c r="K29" s="6" t="s">
        <v>96</v>
      </c>
    </row>
    <row r="30" spans="1:11" x14ac:dyDescent="0.25">
      <c r="A30" t="s">
        <v>128</v>
      </c>
      <c r="C30" s="10" t="s">
        <v>197</v>
      </c>
      <c r="D30" s="10" t="s">
        <v>197</v>
      </c>
      <c r="E30" s="10" t="s">
        <v>197</v>
      </c>
      <c r="F30" s="10" t="s">
        <v>197</v>
      </c>
      <c r="G30" s="10" t="s">
        <v>197</v>
      </c>
      <c r="H30" s="10" t="s">
        <v>197</v>
      </c>
      <c r="I30" s="10" t="s">
        <v>197</v>
      </c>
      <c r="J30" s="10" t="s">
        <v>197</v>
      </c>
      <c r="K30" s="10" t="s">
        <v>197</v>
      </c>
    </row>
    <row r="31" spans="1:11" x14ac:dyDescent="0.25">
      <c r="A31" t="s">
        <v>129</v>
      </c>
      <c r="C31" s="10" t="s">
        <v>197</v>
      </c>
      <c r="D31" s="10" t="s">
        <v>197</v>
      </c>
      <c r="E31" s="10" t="s">
        <v>197</v>
      </c>
      <c r="F31" s="10" t="s">
        <v>197</v>
      </c>
      <c r="G31" s="10" t="s">
        <v>197</v>
      </c>
      <c r="H31" s="10" t="s">
        <v>197</v>
      </c>
      <c r="I31" s="10" t="s">
        <v>197</v>
      </c>
      <c r="J31" s="10" t="s">
        <v>197</v>
      </c>
      <c r="K31" s="10" t="s">
        <v>197</v>
      </c>
    </row>
    <row r="32" spans="1:11" x14ac:dyDescent="0.25">
      <c r="A32" t="s">
        <v>130</v>
      </c>
      <c r="C32" s="6" t="s">
        <v>156</v>
      </c>
      <c r="D32" s="6" t="s">
        <v>156</v>
      </c>
      <c r="E32" s="6" t="s">
        <v>156</v>
      </c>
      <c r="F32" s="6" t="s">
        <v>156</v>
      </c>
      <c r="G32" s="6" t="s">
        <v>203</v>
      </c>
      <c r="H32" s="10" t="s">
        <v>197</v>
      </c>
      <c r="I32" s="10" t="s">
        <v>197</v>
      </c>
      <c r="J32" s="10" t="s">
        <v>197</v>
      </c>
      <c r="K32" s="6" t="s">
        <v>240</v>
      </c>
    </row>
    <row r="33" spans="1:11" x14ac:dyDescent="0.25">
      <c r="A33" t="s">
        <v>131</v>
      </c>
      <c r="C33" s="6" t="s">
        <v>157</v>
      </c>
      <c r="D33" s="6" t="s">
        <v>157</v>
      </c>
      <c r="E33" s="6" t="s">
        <v>157</v>
      </c>
      <c r="F33" s="6" t="s">
        <v>157</v>
      </c>
      <c r="G33" s="6" t="s">
        <v>204</v>
      </c>
      <c r="H33" s="10" t="s">
        <v>197</v>
      </c>
      <c r="I33" s="10" t="s">
        <v>197</v>
      </c>
      <c r="J33" s="10" t="s">
        <v>197</v>
      </c>
      <c r="K33" s="6" t="s">
        <v>241</v>
      </c>
    </row>
    <row r="34" spans="1:11" x14ac:dyDescent="0.25">
      <c r="A34" t="s">
        <v>132</v>
      </c>
      <c r="C34" s="6" t="s">
        <v>164</v>
      </c>
      <c r="D34" s="6" t="s">
        <v>164</v>
      </c>
      <c r="E34" s="6" t="s">
        <v>164</v>
      </c>
      <c r="F34" s="6" t="s">
        <v>164</v>
      </c>
      <c r="G34" s="6">
        <v>15788</v>
      </c>
      <c r="H34" s="10" t="s">
        <v>197</v>
      </c>
      <c r="I34" s="10" t="s">
        <v>197</v>
      </c>
      <c r="J34" s="10" t="s">
        <v>197</v>
      </c>
      <c r="K34" s="6" t="s">
        <v>242</v>
      </c>
    </row>
    <row r="35" spans="1:11" x14ac:dyDescent="0.25">
      <c r="A35" t="s">
        <v>133</v>
      </c>
      <c r="C35" s="6" t="s">
        <v>157</v>
      </c>
      <c r="D35" s="6" t="s">
        <v>157</v>
      </c>
      <c r="E35" s="6" t="s">
        <v>157</v>
      </c>
      <c r="F35" s="6" t="s">
        <v>157</v>
      </c>
      <c r="G35" s="6" t="s">
        <v>204</v>
      </c>
      <c r="H35" s="10" t="s">
        <v>197</v>
      </c>
      <c r="I35" s="10" t="s">
        <v>197</v>
      </c>
      <c r="J35" s="10" t="s">
        <v>197</v>
      </c>
      <c r="K35" s="6" t="s">
        <v>241</v>
      </c>
    </row>
    <row r="36" spans="1:11" x14ac:dyDescent="0.25">
      <c r="A36" t="s">
        <v>134</v>
      </c>
      <c r="C36" s="6" t="s">
        <v>157</v>
      </c>
      <c r="D36" s="6" t="s">
        <v>157</v>
      </c>
      <c r="E36" s="6" t="s">
        <v>157</v>
      </c>
      <c r="F36" s="6" t="s">
        <v>157</v>
      </c>
      <c r="G36" s="6" t="s">
        <v>204</v>
      </c>
      <c r="H36" s="10" t="s">
        <v>197</v>
      </c>
      <c r="I36" s="10" t="s">
        <v>197</v>
      </c>
      <c r="J36" s="10" t="s">
        <v>197</v>
      </c>
      <c r="K36" s="6" t="s">
        <v>241</v>
      </c>
    </row>
    <row r="37" spans="1:11" x14ac:dyDescent="0.25">
      <c r="A37" t="s">
        <v>135</v>
      </c>
      <c r="C37" s="6" t="s">
        <v>158</v>
      </c>
      <c r="D37" s="6" t="s">
        <v>158</v>
      </c>
      <c r="E37" s="6" t="s">
        <v>158</v>
      </c>
      <c r="F37" s="6" t="s">
        <v>158</v>
      </c>
      <c r="G37" s="6" t="s">
        <v>205</v>
      </c>
      <c r="H37" s="10" t="s">
        <v>197</v>
      </c>
      <c r="I37" s="10" t="s">
        <v>197</v>
      </c>
      <c r="J37" s="10" t="s">
        <v>197</v>
      </c>
      <c r="K37" s="6" t="s">
        <v>243</v>
      </c>
    </row>
    <row r="38" spans="1:11" x14ac:dyDescent="0.25">
      <c r="A38" t="s">
        <v>136</v>
      </c>
      <c r="C38" s="6" t="s">
        <v>159</v>
      </c>
      <c r="D38" s="6" t="s">
        <v>159</v>
      </c>
      <c r="E38" s="6" t="s">
        <v>159</v>
      </c>
      <c r="F38" s="6" t="s">
        <v>159</v>
      </c>
      <c r="G38" s="6" t="s">
        <v>206</v>
      </c>
      <c r="H38" s="10" t="s">
        <v>197</v>
      </c>
      <c r="I38" s="10" t="s">
        <v>197</v>
      </c>
      <c r="J38" s="10" t="s">
        <v>197</v>
      </c>
      <c r="K38" s="6" t="s">
        <v>244</v>
      </c>
    </row>
    <row r="39" spans="1:11" x14ac:dyDescent="0.25">
      <c r="A39" t="s">
        <v>137</v>
      </c>
      <c r="C39" s="10" t="s">
        <v>197</v>
      </c>
      <c r="D39" s="10" t="s">
        <v>197</v>
      </c>
      <c r="E39" s="10" t="s">
        <v>197</v>
      </c>
      <c r="F39" s="10" t="s">
        <v>197</v>
      </c>
      <c r="G39" s="10" t="s">
        <v>197</v>
      </c>
      <c r="H39" s="10" t="s">
        <v>197</v>
      </c>
      <c r="I39" s="10" t="s">
        <v>197</v>
      </c>
      <c r="J39" s="10" t="s">
        <v>197</v>
      </c>
      <c r="K39" s="10" t="s">
        <v>197</v>
      </c>
    </row>
    <row r="40" spans="1:11" x14ac:dyDescent="0.25">
      <c r="A40" t="s">
        <v>138</v>
      </c>
      <c r="C40" s="6" t="s">
        <v>160</v>
      </c>
      <c r="D40" s="6" t="s">
        <v>160</v>
      </c>
      <c r="E40" s="6" t="s">
        <v>160</v>
      </c>
      <c r="F40" s="6" t="s">
        <v>160</v>
      </c>
      <c r="G40" s="6" t="s">
        <v>160</v>
      </c>
      <c r="H40" s="10" t="s">
        <v>197</v>
      </c>
      <c r="I40" s="10" t="s">
        <v>197</v>
      </c>
      <c r="J40" s="10" t="s">
        <v>197</v>
      </c>
      <c r="K40" s="6" t="s">
        <v>160</v>
      </c>
    </row>
    <row r="41" spans="1:11" x14ac:dyDescent="0.25">
      <c r="A41" t="s">
        <v>139</v>
      </c>
      <c r="C41" s="6" t="s">
        <v>178</v>
      </c>
      <c r="D41" s="6" t="s">
        <v>166</v>
      </c>
      <c r="E41" s="6" t="s">
        <v>183</v>
      </c>
      <c r="F41" s="6" t="s">
        <v>195</v>
      </c>
      <c r="G41" s="6" t="s">
        <v>207</v>
      </c>
      <c r="H41" s="10" t="s">
        <v>197</v>
      </c>
      <c r="I41" s="10" t="s">
        <v>197</v>
      </c>
      <c r="J41" s="10" t="s">
        <v>197</v>
      </c>
      <c r="K41" s="6" t="s">
        <v>245</v>
      </c>
    </row>
    <row r="42" spans="1:11" x14ac:dyDescent="0.25">
      <c r="A42" t="s">
        <v>140</v>
      </c>
      <c r="C42" s="10" t="s">
        <v>197</v>
      </c>
      <c r="D42" s="10" t="s">
        <v>197</v>
      </c>
      <c r="E42" s="6" t="s">
        <v>183</v>
      </c>
      <c r="F42" s="6" t="s">
        <v>196</v>
      </c>
      <c r="G42" s="6" t="s">
        <v>208</v>
      </c>
      <c r="H42" s="10" t="s">
        <v>197</v>
      </c>
      <c r="I42" s="10" t="s">
        <v>197</v>
      </c>
      <c r="J42" s="10" t="s">
        <v>197</v>
      </c>
      <c r="K42" s="10" t="s">
        <v>197</v>
      </c>
    </row>
    <row r="43" spans="1:11" x14ac:dyDescent="0.25">
      <c r="A43" t="s">
        <v>141</v>
      </c>
      <c r="C43" s="10" t="s">
        <v>197</v>
      </c>
      <c r="D43" s="6" t="s">
        <v>167</v>
      </c>
      <c r="E43" s="10" t="s">
        <v>197</v>
      </c>
      <c r="F43" s="10" t="s">
        <v>197</v>
      </c>
      <c r="G43" s="10" t="s">
        <v>197</v>
      </c>
      <c r="H43" s="10" t="s">
        <v>197</v>
      </c>
      <c r="I43" s="10" t="s">
        <v>197</v>
      </c>
      <c r="J43" s="10" t="s">
        <v>197</v>
      </c>
      <c r="K43" s="10" t="s">
        <v>197</v>
      </c>
    </row>
    <row r="44" spans="1:11" x14ac:dyDescent="0.25">
      <c r="A44" t="s">
        <v>170</v>
      </c>
      <c r="C44" s="10" t="s">
        <v>197</v>
      </c>
      <c r="D44" s="6" t="s">
        <v>95</v>
      </c>
      <c r="E44" s="10" t="s">
        <v>197</v>
      </c>
      <c r="F44" s="10" t="s">
        <v>197</v>
      </c>
      <c r="G44" s="10" t="s">
        <v>197</v>
      </c>
      <c r="H44" s="10" t="s">
        <v>197</v>
      </c>
      <c r="I44" s="10" t="s">
        <v>197</v>
      </c>
      <c r="J44" s="10" t="s">
        <v>197</v>
      </c>
      <c r="K44" s="10" t="s">
        <v>197</v>
      </c>
    </row>
    <row r="45" spans="1:11" x14ac:dyDescent="0.25">
      <c r="A45" t="s">
        <v>169</v>
      </c>
      <c r="C45" s="10" t="s">
        <v>197</v>
      </c>
      <c r="D45" s="6" t="s">
        <v>168</v>
      </c>
      <c r="E45" s="10" t="s">
        <v>197</v>
      </c>
      <c r="F45" s="10" t="s">
        <v>197</v>
      </c>
      <c r="G45" s="10" t="s">
        <v>197</v>
      </c>
      <c r="H45" s="10" t="s">
        <v>197</v>
      </c>
      <c r="I45" s="10" t="s">
        <v>197</v>
      </c>
      <c r="J45" s="10" t="s">
        <v>197</v>
      </c>
      <c r="K45" s="10" t="s">
        <v>197</v>
      </c>
    </row>
    <row r="46" spans="1:11" x14ac:dyDescent="0.25">
      <c r="A46" t="s">
        <v>105</v>
      </c>
      <c r="C46" s="10" t="s">
        <v>197</v>
      </c>
      <c r="D46" s="6" t="s">
        <v>95</v>
      </c>
      <c r="E46" s="10" t="s">
        <v>197</v>
      </c>
      <c r="F46" s="10" t="s">
        <v>197</v>
      </c>
      <c r="G46" s="10" t="s">
        <v>197</v>
      </c>
      <c r="H46" s="10" t="s">
        <v>197</v>
      </c>
      <c r="I46" s="10" t="s">
        <v>197</v>
      </c>
      <c r="J46" s="10" t="s">
        <v>197</v>
      </c>
      <c r="K46" s="10" t="s">
        <v>197</v>
      </c>
    </row>
    <row r="47" spans="1:11" x14ac:dyDescent="0.25">
      <c r="A47" t="s">
        <v>106</v>
      </c>
      <c r="C47" s="10" t="s">
        <v>197</v>
      </c>
      <c r="D47" s="6" t="s">
        <v>171</v>
      </c>
      <c r="E47" s="10" t="s">
        <v>197</v>
      </c>
      <c r="F47" s="10" t="s">
        <v>197</v>
      </c>
      <c r="G47" s="10" t="s">
        <v>197</v>
      </c>
      <c r="H47" s="10" t="s">
        <v>197</v>
      </c>
      <c r="I47" s="10" t="s">
        <v>197</v>
      </c>
      <c r="J47" s="10" t="s">
        <v>197</v>
      </c>
      <c r="K47" s="10" t="s">
        <v>197</v>
      </c>
    </row>
    <row r="48" spans="1:11" x14ac:dyDescent="0.25">
      <c r="A48" t="s">
        <v>26</v>
      </c>
      <c r="C48" s="6" t="s">
        <v>172</v>
      </c>
      <c r="D48" s="6" t="s">
        <v>172</v>
      </c>
      <c r="E48" s="6" t="s">
        <v>172</v>
      </c>
      <c r="F48" s="6" t="s">
        <v>172</v>
      </c>
      <c r="G48" s="6" t="s">
        <v>172</v>
      </c>
      <c r="H48" s="6" t="s">
        <v>172</v>
      </c>
      <c r="I48" s="6" t="s">
        <v>172</v>
      </c>
      <c r="J48" s="6" t="s">
        <v>218</v>
      </c>
      <c r="K48" s="6" t="s">
        <v>172</v>
      </c>
    </row>
    <row r="49" spans="1:11" x14ac:dyDescent="0.25">
      <c r="A49" t="s">
        <v>107</v>
      </c>
      <c r="D49" s="6" t="s">
        <v>173</v>
      </c>
      <c r="E49" s="6" t="s">
        <v>173</v>
      </c>
      <c r="F49" s="6" t="s">
        <v>173</v>
      </c>
      <c r="G49" s="6" t="s">
        <v>173</v>
      </c>
      <c r="H49" s="6" t="s">
        <v>173</v>
      </c>
      <c r="I49" s="6" t="s">
        <v>173</v>
      </c>
      <c r="J49" s="6" t="s">
        <v>219</v>
      </c>
      <c r="K49" s="6" t="s">
        <v>173</v>
      </c>
    </row>
    <row r="50" spans="1:11" x14ac:dyDescent="0.25">
      <c r="A50" t="s">
        <v>108</v>
      </c>
      <c r="C50" s="6" t="s">
        <v>174</v>
      </c>
      <c r="D50" s="6" t="s">
        <v>174</v>
      </c>
      <c r="E50" s="6" t="s">
        <v>174</v>
      </c>
      <c r="F50" s="6" t="s">
        <v>174</v>
      </c>
      <c r="G50" s="6" t="s">
        <v>174</v>
      </c>
      <c r="H50" s="6" t="s">
        <v>174</v>
      </c>
      <c r="I50" s="6" t="s">
        <v>174</v>
      </c>
      <c r="J50" s="6" t="s">
        <v>174</v>
      </c>
      <c r="K50" s="6" t="s">
        <v>174</v>
      </c>
    </row>
    <row r="51" spans="1:11" x14ac:dyDescent="0.25">
      <c r="A51" t="s">
        <v>109</v>
      </c>
      <c r="C51" s="6" t="s">
        <v>175</v>
      </c>
      <c r="D51" s="6" t="s">
        <v>175</v>
      </c>
      <c r="E51" s="6" t="s">
        <v>175</v>
      </c>
      <c r="F51" s="6" t="s">
        <v>175</v>
      </c>
      <c r="G51" s="6" t="s">
        <v>175</v>
      </c>
      <c r="H51" s="6" t="s">
        <v>175</v>
      </c>
      <c r="I51" s="6" t="s">
        <v>175</v>
      </c>
      <c r="J51" s="6" t="s">
        <v>175</v>
      </c>
      <c r="K51" s="6" t="s">
        <v>175</v>
      </c>
    </row>
    <row r="52" spans="1:11" x14ac:dyDescent="0.25">
      <c r="A52" t="s">
        <v>110</v>
      </c>
      <c r="C52" s="6" t="s">
        <v>176</v>
      </c>
      <c r="D52" s="6" t="s">
        <v>176</v>
      </c>
      <c r="E52" s="6" t="s">
        <v>176</v>
      </c>
      <c r="F52" s="6" t="s">
        <v>176</v>
      </c>
      <c r="G52" s="6" t="s">
        <v>176</v>
      </c>
      <c r="H52" s="6" t="s">
        <v>176</v>
      </c>
      <c r="I52" s="6" t="s">
        <v>176</v>
      </c>
      <c r="J52" s="6" t="s">
        <v>176</v>
      </c>
      <c r="K52" s="6" t="s">
        <v>176</v>
      </c>
    </row>
    <row r="53" spans="1:11" x14ac:dyDescent="0.25">
      <c r="A53" t="s">
        <v>111</v>
      </c>
      <c r="C53" s="6" t="s">
        <v>177</v>
      </c>
      <c r="D53" s="6" t="s">
        <v>177</v>
      </c>
      <c r="E53" s="6" t="s">
        <v>177</v>
      </c>
      <c r="F53" s="6" t="s">
        <v>177</v>
      </c>
      <c r="G53" s="6" t="s">
        <v>177</v>
      </c>
      <c r="H53" s="6" t="s">
        <v>177</v>
      </c>
      <c r="I53" s="6" t="s">
        <v>177</v>
      </c>
      <c r="J53" s="6" t="s">
        <v>220</v>
      </c>
      <c r="K53" s="6" t="s">
        <v>246</v>
      </c>
    </row>
    <row r="54" spans="1:11" x14ac:dyDescent="0.25">
      <c r="G54" s="6"/>
    </row>
  </sheetData>
  <pageMargins left="0.25" right="0.25" top="0.75" bottom="0.75" header="0.3" footer="0.3"/>
  <pageSetup scale="4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0AB2E-3244-41FC-88B1-B24E3262CF55}">
  <dimension ref="A1:B5"/>
  <sheetViews>
    <sheetView workbookViewId="0">
      <selection activeCell="B6" sqref="B6"/>
    </sheetView>
  </sheetViews>
  <sheetFormatPr defaultRowHeight="15.75" x14ac:dyDescent="0.25"/>
  <sheetData>
    <row r="1" spans="1:2" x14ac:dyDescent="0.25">
      <c r="A1" t="s">
        <v>221</v>
      </c>
      <c r="B1" t="s">
        <v>222</v>
      </c>
    </row>
    <row r="2" spans="1:2" x14ac:dyDescent="0.25">
      <c r="A2" t="s">
        <v>223</v>
      </c>
      <c r="B2" t="s">
        <v>224</v>
      </c>
    </row>
    <row r="3" spans="1:2" x14ac:dyDescent="0.25">
      <c r="A3" t="s">
        <v>227</v>
      </c>
      <c r="B3" t="s">
        <v>228</v>
      </c>
    </row>
    <row r="4" spans="1:2" x14ac:dyDescent="0.25">
      <c r="A4" t="s">
        <v>225</v>
      </c>
      <c r="B4" t="s">
        <v>201</v>
      </c>
    </row>
    <row r="5" spans="1:2" x14ac:dyDescent="0.25">
      <c r="A5" t="s">
        <v>226</v>
      </c>
      <c r="B5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Sheet1</vt:lpstr>
      <vt:lpstr>lkup_fms</vt:lpstr>
      <vt:lpstr>FMS_data</vt:lpstr>
      <vt:lpstr>FMS_data DE-I</vt:lpstr>
      <vt:lpstr>Sheet3</vt:lpstr>
      <vt:lpstr>FMS_data!Print_Area</vt:lpstr>
      <vt:lpstr>'FMS_data DE-I'!Print_Area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Levine, Charles Roger (dzk3ja)</dc:creator>
  <cp:lastModifiedBy>Levine, Charles Roger (dzk3ja)</cp:lastModifiedBy>
  <cp:lastPrinted>2025-05-08T19:20:13Z</cp:lastPrinted>
  <dcterms:created xsi:type="dcterms:W3CDTF">2024-12-20T15:22:22Z</dcterms:created>
  <dcterms:modified xsi:type="dcterms:W3CDTF">2025-05-14T21:08:57Z</dcterms:modified>
</cp:coreProperties>
</file>