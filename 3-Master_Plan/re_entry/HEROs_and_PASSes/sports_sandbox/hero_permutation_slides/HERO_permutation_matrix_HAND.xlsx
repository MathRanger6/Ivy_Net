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levine/Library/CloudStorage/Dropbox/1-Documents/00- Dissertation/0-Next_Chapter/Code_and_Data/New SQL and PY Code/Cursor Workspace PDE/3-Master_Plan/re_entry/HEROs_and_PASSes/population_sandbox/hero_permutation_slides/"/>
    </mc:Choice>
  </mc:AlternateContent>
  <xr:revisionPtr revIDLastSave="0" documentId="13_ncr:9_{30200BE6-EB80-514A-80BB-641EC3E0AD0A}" xr6:coauthVersionLast="47" xr6:coauthVersionMax="47" xr10:uidLastSave="{00000000-0000-0000-0000-000000000000}"/>
  <bookViews>
    <workbookView xWindow="26920" yWindow="2780" windowWidth="40840" windowHeight="33880" xr2:uid="{B837EF5A-D822-614E-815A-157C9E02F243}"/>
  </bookViews>
  <sheets>
    <sheet name="HERO_permutation_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2" i="1"/>
  <c r="I13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3" i="1"/>
  <c r="I4" i="1"/>
  <c r="I5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2" i="1"/>
  <c r="E3" i="1"/>
  <c r="E4" i="1"/>
  <c r="E5" i="1"/>
  <c r="E6" i="1"/>
  <c r="E7" i="1"/>
  <c r="E10" i="1"/>
  <c r="E11" i="1"/>
  <c r="E12" i="1"/>
  <c r="E13" i="1"/>
  <c r="E18" i="1"/>
  <c r="E19" i="1"/>
  <c r="E20" i="1"/>
  <c r="E21" i="1"/>
  <c r="E22" i="1"/>
  <c r="E23" i="1"/>
  <c r="E25" i="1"/>
  <c r="E26" i="1"/>
  <c r="E27" i="1"/>
  <c r="E28" i="1"/>
  <c r="E29" i="1"/>
  <c r="E30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2" i="1"/>
  <c r="G65" i="1"/>
  <c r="G64" i="1"/>
  <c r="G63" i="1"/>
  <c r="G62" i="1"/>
  <c r="G61" i="1"/>
  <c r="G60" i="1"/>
  <c r="G59" i="1"/>
  <c r="G58" i="1"/>
  <c r="G53" i="1"/>
  <c r="G52" i="1"/>
  <c r="G43" i="1"/>
  <c r="G44" i="1"/>
  <c r="G45" i="1"/>
  <c r="G46" i="1"/>
  <c r="G47" i="1"/>
  <c r="G48" i="1"/>
  <c r="G49" i="1"/>
  <c r="G42" i="1"/>
</calcChain>
</file>

<file path=xl/sharedStrings.xml><?xml version="1.0" encoding="utf-8"?>
<sst xmlns="http://schemas.openxmlformats.org/spreadsheetml/2006/main" count="511" uniqueCount="94">
  <si>
    <t>slide</t>
  </si>
  <si>
    <t>output_tag</t>
  </si>
  <si>
    <t>loo</t>
  </si>
  <si>
    <t>poolq</t>
  </si>
  <si>
    <t>ever</t>
  </si>
  <si>
    <t>season-Y</t>
  </si>
  <si>
    <t>all-ps</t>
  </si>
  <si>
    <t>last-ps</t>
  </si>
  <si>
    <t>ALLT</t>
  </si>
  <si>
    <t>q16</t>
  </si>
  <si>
    <t>q20</t>
  </si>
  <si>
    <t>ew16</t>
  </si>
  <si>
    <t>ew20</t>
  </si>
  <si>
    <t>peak_vent</t>
  </si>
  <si>
    <t>peak_rate_pct</t>
  </si>
  <si>
    <t>bin0_rate_pct</t>
  </si>
  <si>
    <t>beta_sq</t>
  </si>
  <si>
    <t>bin0_peak</t>
  </si>
  <si>
    <t>perm_loo_ever_allps_q16</t>
  </si>
  <si>
    <t>X</t>
  </si>
  <si>
    <t>perm_loo_ever_allps_q20</t>
  </si>
  <si>
    <t>perm_loo_ever_allps_ew16</t>
  </si>
  <si>
    <t>perm_loo_ever_allps_ew20</t>
  </si>
  <si>
    <t>perm_loo_ever_allps_q16_dft</t>
  </si>
  <si>
    <t>perm_loo_ever_allps_q20_dft</t>
  </si>
  <si>
    <t>perm_loo_ever_allps_ew16_dft</t>
  </si>
  <si>
    <t>perm_loo_ever_allps_ew20_dft</t>
  </si>
  <si>
    <t>perm_loo_ever_lastps_q16</t>
  </si>
  <si>
    <t>perm_loo_ever_lastps_q20</t>
  </si>
  <si>
    <t>perm_loo_ever_lastps_ew16</t>
  </si>
  <si>
    <t>perm_loo_ever_lastps_ew20</t>
  </si>
  <si>
    <t>perm_loo_ever_lastps_q16_dft</t>
  </si>
  <si>
    <t>perm_loo_ever_lastps_q20_dft</t>
  </si>
  <si>
    <t>perm_loo_ever_lastps_ew16_dft</t>
  </si>
  <si>
    <t>perm_loo_ever_lastps_ew20_dft</t>
  </si>
  <si>
    <t>perm_loo_seasony_allps_q16</t>
  </si>
  <si>
    <t>perm_loo_seasony_allps_q20</t>
  </si>
  <si>
    <t>perm_loo_seasony_allps_ew16</t>
  </si>
  <si>
    <t>perm_loo_seasony_allps_ew20</t>
  </si>
  <si>
    <t>perm_loo_seasony_allps_q16_dft</t>
  </si>
  <si>
    <t>perm_loo_seasony_allps_q20_dft</t>
  </si>
  <si>
    <t>perm_loo_seasony_allps_ew16_dft</t>
  </si>
  <si>
    <t>perm_loo_seasony_allps_ew20_dft</t>
  </si>
  <si>
    <t>perm_loo_seasony_lastps_q16</t>
  </si>
  <si>
    <t>perm_loo_seasony_lastps_q20</t>
  </si>
  <si>
    <t>perm_loo_seasony_lastps_ew16</t>
  </si>
  <si>
    <t>perm_loo_seasony_lastps_ew20</t>
  </si>
  <si>
    <t>perm_loo_seasony_lastps_q16_dft</t>
  </si>
  <si>
    <t>perm_loo_seasony_lastps_q20_dft</t>
  </si>
  <si>
    <t>perm_loo_seasony_lastps_ew16_dft</t>
  </si>
  <si>
    <t>perm_loo_seasony_lastps_ew20_dft</t>
  </si>
  <si>
    <t>perm_poolq_ever_allps_q16</t>
  </si>
  <si>
    <t>perm_poolq_ever_allps_q20</t>
  </si>
  <si>
    <t>perm_poolq_ever_allps_ew16</t>
  </si>
  <si>
    <t>perm_poolq_ever_allps_ew20</t>
  </si>
  <si>
    <t>perm_poolq_ever_allps_q16_dft</t>
  </si>
  <si>
    <t>perm_poolq_ever_allps_q20_dft</t>
  </si>
  <si>
    <t>perm_poolq_ever_allps_ew16_dft</t>
  </si>
  <si>
    <t>perm_poolq_ever_allps_ew20_dft</t>
  </si>
  <si>
    <t>perm_poolq_ever_lastps_q16</t>
  </si>
  <si>
    <t>perm_poolq_ever_lastps_q20</t>
  </si>
  <si>
    <t>perm_poolq_ever_lastps_ew16</t>
  </si>
  <si>
    <t>perm_poolq_ever_lastps_ew20</t>
  </si>
  <si>
    <t>perm_poolq_ever_lastps_q16_dft</t>
  </si>
  <si>
    <t>perm_poolq_ever_lastps_q20_dft</t>
  </si>
  <si>
    <t>perm_poolq_ever_lastps_ew16_dft</t>
  </si>
  <si>
    <t>perm_poolq_ever_lastps_ew20_dft</t>
  </si>
  <si>
    <t>perm_poolq_seasony_allps_q16</t>
  </si>
  <si>
    <t>perm_poolq_seasony_allps_q20</t>
  </si>
  <si>
    <t>perm_poolq_seasony_allps_ew16</t>
  </si>
  <si>
    <t>perm_poolq_seasony_allps_ew20</t>
  </si>
  <si>
    <t>perm_poolq_seasony_allps_q16_dft</t>
  </si>
  <si>
    <t>perm_poolq_seasony_allps_q20_dft</t>
  </si>
  <si>
    <t>perm_poolq_seasony_allps_ew16_dft</t>
  </si>
  <si>
    <t>perm_poolq_seasony_allps_ew20_dft</t>
  </si>
  <si>
    <t>perm_poolq_seasony_lastps_q16</t>
  </si>
  <si>
    <t>perm_poolq_seasony_lastps_q20</t>
  </si>
  <si>
    <t>perm_poolq_seasony_lastps_ew16</t>
  </si>
  <si>
    <t>perm_poolq_seasony_lastps_ew20</t>
  </si>
  <si>
    <t>perm_poolq_seasony_lastps_q16_dft</t>
  </si>
  <si>
    <t>perm_poolq_seasony_lastps_q20_dft</t>
  </si>
  <si>
    <t>perm_poolq_seasony_lastps_ew16_dft</t>
  </si>
  <si>
    <t>perm_poolq_seasony_lastps_ew20_dft</t>
  </si>
  <si>
    <t>DFT</t>
  </si>
  <si>
    <t>Early spike</t>
  </si>
  <si>
    <t>lone spike</t>
  </si>
  <si>
    <t>~monotone incr</t>
  </si>
  <si>
    <t>x</t>
  </si>
  <si>
    <t>exponential rise</t>
  </si>
  <si>
    <t>QTL</t>
  </si>
  <si>
    <t>EWT</t>
  </si>
  <si>
    <t>tail drop</t>
  </si>
  <si>
    <t>robust tail drop</t>
  </si>
  <si>
    <t>genearally decreasing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</si>
</sst>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 textRotation="90" wrapText="1"/>
    </xf>
    <xf numFmtId="0" fontId="0" fillId="0" borderId="0" xfId="0" applyAlignment="1">
      <alignment horizontal="center" textRotation="90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alignment horizontal="center" vertical="bottom" textRotation="9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96F56-36B8-6C49-9F55-7A8544C45C35}" name="Table1" displayName="Table1" ref="A1:AB65" totalsRowShown="0" headerRowDxfId="0" dataDxfId="1">
  <autoFilter ref="A1:AB65" xr:uid="{01196F56-36B8-6C49-9F55-7A8544C45C35}"/>
  <sortState xmlns:xlrd2="http://schemas.microsoft.com/office/spreadsheetml/2017/richdata2" ref="A2:AB65">
    <sortCondition ref="A1:A65"/>
  </sortState>
  <tableColumns count="28">
    <tableColumn id="1" xr3:uid="{F167375C-7EB8-814B-8F6F-690EA9180536}" name="slide" dataDxfId="28"/>
    <tableColumn id="2" xr3:uid="{E7F94990-5E0A-E743-9914-098AA4C3792A}" name="bin0_peak" dataDxfId="27"/>
    <tableColumn id="3" xr3:uid="{BAC5FCB1-628F-0A4A-B249-79E2EC150F8C}" name="genearally decreasing" dataDxfId="26"/>
    <tableColumn id="4" xr3:uid="{4590B689-C3B1-BD43-89DF-5E6D11996A65}" name="lone spike" dataDxfId="25"/>
    <tableColumn id="5" xr3:uid="{EB64E623-9480-3944-90C2-3DA10A236DAE}" name="Early spike" dataDxfId="24">
      <calculatedColumnFormula>IF(D2&lt;&gt;"",D2,"")</calculatedColumnFormula>
    </tableColumn>
    <tableColumn id="6" xr3:uid="{9411580D-73E0-9A49-8B2C-D4085B03F197}" name="exponential rise" dataDxfId="23"/>
    <tableColumn id="7" xr3:uid="{DD9B32C8-20AB-8146-9D1E-EB1A98739D4E}" name="~monotone incr" dataDxfId="22">
      <calculatedColumnFormula>IF(F2&lt;&gt;"",F2,"")</calculatedColumnFormula>
    </tableColumn>
    <tableColumn id="8" xr3:uid="{BA9E62CD-5FEA-F64F-99DF-E6B05EDE3A4A}" name="robust tail drop" dataDxfId="21"/>
    <tableColumn id="9" xr3:uid="{BEFC8BDF-3DF4-B149-BB0B-93916E5676CA}" name="tail drop" dataDxfId="20">
      <calculatedColumnFormula>IF(H2&lt;&gt;"",H2,"")</calculatedColumnFormula>
    </tableColumn>
    <tableColumn id="10" xr3:uid="{14D1BA67-415E-F041-9940-C4C4F0A6DBAD}" name="loo" dataDxfId="19"/>
    <tableColumn id="11" xr3:uid="{E18B67F4-FCE6-0646-97B7-393C5D943C96}" name="poolq" dataDxfId="18"/>
    <tableColumn id="12" xr3:uid="{A231B818-83D0-904A-9384-369558B63857}" name="ever" dataDxfId="17"/>
    <tableColumn id="13" xr3:uid="{BB23AFA0-4B33-4747-A99C-7B74D2A33133}" name="season-Y" dataDxfId="16"/>
    <tableColumn id="14" xr3:uid="{687F9214-1F70-CC4A-BCCA-8C3F727C8FED}" name="all-ps" dataDxfId="15"/>
    <tableColumn id="15" xr3:uid="{5E149896-D621-8D49-87EF-C3CE6E2B6574}" name="last-ps" dataDxfId="14"/>
    <tableColumn id="16" xr3:uid="{72E48C2B-ADE0-754B-956B-985CF36286D1}" name="ALLT" dataDxfId="13"/>
    <tableColumn id="17" xr3:uid="{EFDC7215-41B4-7443-8743-C21097852EC1}" name="DFT" dataDxfId="12"/>
    <tableColumn id="18" xr3:uid="{FC0335A0-C375-D342-897A-DF19FB84D7BC}" name="QTL" dataDxfId="11">
      <calculatedColumnFormula>IF(S2&lt;&gt;"",S2,IF(S3&lt;&gt;"",S3,""))</calculatedColumnFormula>
    </tableColumn>
    <tableColumn id="19" xr3:uid="{FEC6A713-EC26-9F47-9191-8A57049FFE3A}" name="q16" dataDxfId="10"/>
    <tableColumn id="20" xr3:uid="{51A60F15-49D4-924B-BCAB-8AED9EB9E52E}" name="q20" dataDxfId="9"/>
    <tableColumn id="21" xr3:uid="{1797C283-D8EE-C342-9695-D92DC3A23CA9}" name="EWT" dataDxfId="8">
      <calculatedColumnFormula>IF(V2&lt;&gt;"",V2,IF(V3&lt;&gt;"",V3,""))</calculatedColumnFormula>
    </tableColumn>
    <tableColumn id="22" xr3:uid="{0127B5DA-7004-0148-801E-E61E90BB30AA}" name="ew16" dataDxfId="7"/>
    <tableColumn id="23" xr3:uid="{DFA194CB-901B-4642-816E-463834C8C8D6}" name="ew20" dataDxfId="6"/>
    <tableColumn id="24" xr3:uid="{E267ABFE-5E5E-AA4C-ABA9-1FF1E0642E37}" name="peak_vent" dataDxfId="5"/>
    <tableColumn id="25" xr3:uid="{E7027137-F6CB-774C-BBB3-3D8C10FC988C}" name="peak_rate_pct" dataDxfId="4"/>
    <tableColumn id="26" xr3:uid="{B1778126-6BB8-7C43-B7D0-AAAA841655C8}" name="bin0_rate_pct" dataDxfId="3"/>
    <tableColumn id="27" xr3:uid="{8C4B3FC8-A770-344C-9C2E-9D34DD0D4E94}" name="beta_sq" dataDxfId="2"/>
    <tableColumn id="28" xr3:uid="{83D6EC59-0C70-9646-8BD7-01F73E673A31}" name="output_t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F20D-1098-434A-90AF-DF2FD9DDA388}">
  <dimension ref="A1:AB66"/>
  <sheetViews>
    <sheetView tabSelected="1" zoomScale="125" workbookViewId="0">
      <selection activeCell="O26" sqref="N26:O26"/>
    </sheetView>
  </sheetViews>
  <sheetFormatPr baseColWidth="10" defaultRowHeight="16" x14ac:dyDescent="0.2"/>
  <cols>
    <col min="1" max="1" width="5.5" style="3" customWidth="1"/>
    <col min="2" max="24" width="5.5" customWidth="1"/>
    <col min="25" max="26" width="6.33203125" bestFit="1" customWidth="1"/>
    <col min="27" max="27" width="9.5" bestFit="1" customWidth="1"/>
    <col min="28" max="28" width="32.5" bestFit="1" customWidth="1"/>
  </cols>
  <sheetData>
    <row r="1" spans="1:28" s="5" customFormat="1" ht="114" x14ac:dyDescent="0.2">
      <c r="A1" s="4" t="s">
        <v>0</v>
      </c>
      <c r="B1" s="5" t="s">
        <v>17</v>
      </c>
      <c r="C1" s="5" t="s">
        <v>93</v>
      </c>
      <c r="D1" s="5" t="s">
        <v>85</v>
      </c>
      <c r="E1" s="5" t="s">
        <v>84</v>
      </c>
      <c r="F1" s="5" t="s">
        <v>88</v>
      </c>
      <c r="G1" s="5" t="s">
        <v>86</v>
      </c>
      <c r="H1" s="5" t="s">
        <v>92</v>
      </c>
      <c r="I1" s="5" t="s">
        <v>91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  <c r="P1" s="5" t="s">
        <v>8</v>
      </c>
      <c r="Q1" s="5" t="s">
        <v>83</v>
      </c>
      <c r="R1" s="5" t="s">
        <v>89</v>
      </c>
      <c r="S1" s="5" t="s">
        <v>9</v>
      </c>
      <c r="T1" s="5" t="s">
        <v>10</v>
      </c>
      <c r="U1" s="5" t="s">
        <v>90</v>
      </c>
      <c r="V1" s="5" t="s">
        <v>11</v>
      </c>
      <c r="W1" s="5" t="s">
        <v>12</v>
      </c>
      <c r="X1" s="5" t="s">
        <v>13</v>
      </c>
      <c r="Y1" s="5" t="s">
        <v>14</v>
      </c>
      <c r="Z1" s="5" t="s">
        <v>15</v>
      </c>
      <c r="AA1" s="5" t="s">
        <v>16</v>
      </c>
      <c r="AB1" s="5" t="s">
        <v>1</v>
      </c>
    </row>
    <row r="2" spans="1:28" x14ac:dyDescent="0.2">
      <c r="A2" s="2">
        <v>2</v>
      </c>
      <c r="B2" s="1"/>
      <c r="C2" s="1"/>
      <c r="D2" s="1"/>
      <c r="E2" s="1" t="str">
        <f>IF(D2&lt;&gt;"",D2,"")</f>
        <v/>
      </c>
      <c r="F2" s="1"/>
      <c r="G2" s="1" t="s">
        <v>87</v>
      </c>
      <c r="H2" s="1"/>
      <c r="I2" s="1" t="s">
        <v>19</v>
      </c>
      <c r="J2" s="1" t="s">
        <v>19</v>
      </c>
      <c r="K2" s="1"/>
      <c r="L2" s="1" t="s">
        <v>19</v>
      </c>
      <c r="M2" s="1"/>
      <c r="N2" s="1" t="s">
        <v>19</v>
      </c>
      <c r="O2" s="1"/>
      <c r="P2" s="1" t="s">
        <v>19</v>
      </c>
      <c r="Q2" s="1"/>
      <c r="R2" s="1" t="str">
        <f>IF(S2&lt;&gt;"",S2,IF(S3&lt;&gt;"",S3,""))</f>
        <v>X</v>
      </c>
      <c r="S2" s="1" t="s">
        <v>19</v>
      </c>
      <c r="T2" s="1"/>
      <c r="U2" s="1" t="str">
        <f>IF(V2&lt;&gt;"",V2,IF(V3&lt;&gt;"",V3,""))</f>
        <v/>
      </c>
      <c r="V2" s="1"/>
      <c r="W2" s="1"/>
      <c r="X2" s="1">
        <v>15</v>
      </c>
      <c r="Y2" s="1">
        <v>3.5179999999999998</v>
      </c>
      <c r="Z2" s="1">
        <v>1.9339999999999999</v>
      </c>
      <c r="AA2" s="1">
        <v>1.099E-2</v>
      </c>
      <c r="AB2" t="s">
        <v>18</v>
      </c>
    </row>
    <row r="3" spans="1:28" x14ac:dyDescent="0.2">
      <c r="A3" s="2">
        <v>3</v>
      </c>
      <c r="B3" s="1"/>
      <c r="C3" s="1"/>
      <c r="D3" s="1"/>
      <c r="E3" s="1" t="str">
        <f>IF(D3&lt;&gt;"",D3,"")</f>
        <v/>
      </c>
      <c r="F3" s="1"/>
      <c r="G3" s="1" t="s">
        <v>87</v>
      </c>
      <c r="H3" s="1"/>
      <c r="I3" s="1" t="str">
        <f>IF(H3&lt;&gt;"",H3,"")</f>
        <v/>
      </c>
      <c r="J3" s="1" t="s">
        <v>19</v>
      </c>
      <c r="K3" s="1"/>
      <c r="L3" s="1" t="s">
        <v>19</v>
      </c>
      <c r="M3" s="1"/>
      <c r="N3" s="1" t="s">
        <v>19</v>
      </c>
      <c r="O3" s="1"/>
      <c r="P3" s="1" t="s">
        <v>19</v>
      </c>
      <c r="Q3" s="1"/>
      <c r="R3" s="1" t="str">
        <f>IF(S3&lt;&gt;"",S3,IF(S4&lt;&gt;"",S4,""))</f>
        <v/>
      </c>
      <c r="S3" s="1"/>
      <c r="T3" s="1" t="s">
        <v>19</v>
      </c>
      <c r="U3" s="1" t="str">
        <f>IF(V3&lt;&gt;"",V3,IF(V4&lt;&gt;"",V4,""))</f>
        <v>X</v>
      </c>
      <c r="V3" s="1"/>
      <c r="W3" s="1"/>
      <c r="X3" s="1">
        <v>20</v>
      </c>
      <c r="Y3" s="1">
        <v>3.6280000000000001</v>
      </c>
      <c r="Z3" s="1">
        <v>1.758</v>
      </c>
      <c r="AA3" s="1">
        <v>1.099E-2</v>
      </c>
      <c r="AB3" t="s">
        <v>20</v>
      </c>
    </row>
    <row r="4" spans="1:28" x14ac:dyDescent="0.2">
      <c r="A4" s="2">
        <v>4</v>
      </c>
      <c r="B4" s="1"/>
      <c r="C4" s="1"/>
      <c r="D4" s="1"/>
      <c r="E4" s="1" t="str">
        <f>IF(D4&lt;&gt;"",D4,"")</f>
        <v/>
      </c>
      <c r="F4" s="1"/>
      <c r="G4" s="1" t="s">
        <v>87</v>
      </c>
      <c r="H4" s="1"/>
      <c r="I4" s="1" t="str">
        <f>IF(H4&lt;&gt;"",H4,"")</f>
        <v/>
      </c>
      <c r="J4" s="1" t="s">
        <v>19</v>
      </c>
      <c r="K4" s="1"/>
      <c r="L4" s="1" t="s">
        <v>19</v>
      </c>
      <c r="M4" s="1"/>
      <c r="N4" s="1" t="s">
        <v>19</v>
      </c>
      <c r="O4" s="1"/>
      <c r="P4" s="1" t="s">
        <v>19</v>
      </c>
      <c r="Q4" s="1"/>
      <c r="R4" s="1" t="str">
        <f>IF(S4&lt;&gt;"",S4,IF(S5&lt;&gt;"",S5,""))</f>
        <v/>
      </c>
      <c r="S4" s="1"/>
      <c r="T4" s="1"/>
      <c r="U4" s="1" t="str">
        <f>IF(V4&lt;&gt;"",V4,IF(V5&lt;&gt;"",V5,""))</f>
        <v>X</v>
      </c>
      <c r="V4" s="1" t="s">
        <v>19</v>
      </c>
      <c r="W4" s="1"/>
      <c r="X4" s="1">
        <v>16</v>
      </c>
      <c r="Y4" s="1">
        <v>3.7919999999999998</v>
      </c>
      <c r="Z4" s="1">
        <v>1.2070000000000001</v>
      </c>
      <c r="AA4" s="1">
        <v>1.099E-2</v>
      </c>
      <c r="AB4" t="s">
        <v>21</v>
      </c>
    </row>
    <row r="5" spans="1:28" x14ac:dyDescent="0.2">
      <c r="A5" s="2">
        <v>5</v>
      </c>
      <c r="B5" s="1"/>
      <c r="C5" s="1"/>
      <c r="D5" s="1"/>
      <c r="E5" s="1" t="str">
        <f>IF(D5&lt;&gt;"",D5,"")</f>
        <v/>
      </c>
      <c r="F5" s="1"/>
      <c r="G5" s="1" t="s">
        <v>87</v>
      </c>
      <c r="H5" s="1"/>
      <c r="I5" s="1" t="str">
        <f>IF(H5&lt;&gt;"",H5,"")</f>
        <v/>
      </c>
      <c r="J5" s="1" t="s">
        <v>19</v>
      </c>
      <c r="K5" s="1"/>
      <c r="L5" s="1" t="s">
        <v>19</v>
      </c>
      <c r="M5" s="1"/>
      <c r="N5" s="1" t="s">
        <v>19</v>
      </c>
      <c r="O5" s="1"/>
      <c r="P5" s="1" t="s">
        <v>19</v>
      </c>
      <c r="Q5" s="1"/>
      <c r="R5" s="1" t="str">
        <f>IF(S5&lt;&gt;"",S5,IF(S6&lt;&gt;"",S6,""))</f>
        <v>X</v>
      </c>
      <c r="S5" s="1"/>
      <c r="T5" s="1"/>
      <c r="U5" s="1" t="str">
        <f>IF(V5&lt;&gt;"",V5,IF(V6&lt;&gt;"",V6,""))</f>
        <v/>
      </c>
      <c r="V5" s="1"/>
      <c r="W5" s="1" t="s">
        <v>19</v>
      </c>
      <c r="X5" s="1">
        <v>20</v>
      </c>
      <c r="Y5" s="1">
        <v>3.9409999999999998</v>
      </c>
      <c r="Z5" s="1">
        <v>1.27</v>
      </c>
      <c r="AA5" s="1">
        <v>1.099E-2</v>
      </c>
      <c r="AB5" t="s">
        <v>22</v>
      </c>
    </row>
    <row r="6" spans="1:28" x14ac:dyDescent="0.2">
      <c r="A6" s="2">
        <v>6</v>
      </c>
      <c r="B6" s="1" t="s">
        <v>19</v>
      </c>
      <c r="C6" s="1" t="s">
        <v>19</v>
      </c>
      <c r="D6" s="1"/>
      <c r="E6" s="1" t="str">
        <f>IF(D6&lt;&gt;"",D6,"")</f>
        <v/>
      </c>
      <c r="F6" s="1"/>
      <c r="G6" s="1"/>
      <c r="H6" s="1" t="s">
        <v>19</v>
      </c>
      <c r="I6" s="1" t="str">
        <f>IF(H6&lt;&gt;"",H6,"")</f>
        <v>X</v>
      </c>
      <c r="J6" s="1" t="s">
        <v>19</v>
      </c>
      <c r="K6" s="1"/>
      <c r="L6" s="1" t="s">
        <v>19</v>
      </c>
      <c r="M6" s="1"/>
      <c r="N6" s="1" t="s">
        <v>19</v>
      </c>
      <c r="O6" s="1"/>
      <c r="P6" s="1"/>
      <c r="Q6" s="1" t="s">
        <v>19</v>
      </c>
      <c r="R6" s="1" t="str">
        <f>IF(S6&lt;&gt;"",S6,IF(S7&lt;&gt;"",S7,""))</f>
        <v>X</v>
      </c>
      <c r="S6" s="1" t="s">
        <v>19</v>
      </c>
      <c r="T6" s="1"/>
      <c r="U6" s="1" t="str">
        <f>IF(V6&lt;&gt;"",V6,IF(V7&lt;&gt;"",V7,""))</f>
        <v/>
      </c>
      <c r="V6" s="1"/>
      <c r="W6" s="1"/>
      <c r="X6" s="1">
        <v>1</v>
      </c>
      <c r="Y6" s="1">
        <v>7.5309999999999997</v>
      </c>
      <c r="Z6" s="1">
        <v>7.5309999999999997</v>
      </c>
      <c r="AA6" s="1">
        <v>3.2599999999999997E-2</v>
      </c>
      <c r="AB6" t="s">
        <v>23</v>
      </c>
    </row>
    <row r="7" spans="1:28" x14ac:dyDescent="0.2">
      <c r="A7" s="2">
        <v>7</v>
      </c>
      <c r="B7" s="1" t="s">
        <v>19</v>
      </c>
      <c r="C7" s="1" t="s">
        <v>19</v>
      </c>
      <c r="D7" s="1"/>
      <c r="E7" s="1" t="str">
        <f>IF(D7&lt;&gt;"",D7,"")</f>
        <v/>
      </c>
      <c r="F7" s="1"/>
      <c r="G7" s="1"/>
      <c r="H7" s="1"/>
      <c r="I7" s="1" t="str">
        <f>IF(H7&lt;&gt;"",H7,"")</f>
        <v/>
      </c>
      <c r="J7" s="1" t="s">
        <v>19</v>
      </c>
      <c r="K7" s="1"/>
      <c r="L7" s="1" t="s">
        <v>19</v>
      </c>
      <c r="M7" s="1"/>
      <c r="N7" s="1" t="s">
        <v>19</v>
      </c>
      <c r="O7" s="1"/>
      <c r="P7" s="1"/>
      <c r="Q7" s="1" t="s">
        <v>19</v>
      </c>
      <c r="R7" s="1" t="str">
        <f>IF(S7&lt;&gt;"",S7,IF(S8&lt;&gt;"",S8,""))</f>
        <v/>
      </c>
      <c r="S7" s="1"/>
      <c r="T7" s="1" t="s">
        <v>19</v>
      </c>
      <c r="U7" s="1" t="str">
        <f>IF(V7&lt;&gt;"",V7,IF(V8&lt;&gt;"",V8,""))</f>
        <v>X</v>
      </c>
      <c r="V7" s="1"/>
      <c r="W7" s="1"/>
      <c r="X7" s="1">
        <v>1</v>
      </c>
      <c r="Y7" s="1">
        <v>7.7830000000000004</v>
      </c>
      <c r="Z7" s="1">
        <v>7.7830000000000004</v>
      </c>
      <c r="AA7" s="1">
        <v>3.2599999999999997E-2</v>
      </c>
      <c r="AB7" t="s">
        <v>24</v>
      </c>
    </row>
    <row r="8" spans="1:28" x14ac:dyDescent="0.2">
      <c r="A8" s="2">
        <v>8</v>
      </c>
      <c r="B8" s="1"/>
      <c r="C8" s="1" t="s">
        <v>19</v>
      </c>
      <c r="D8" s="1"/>
      <c r="E8" s="1" t="s">
        <v>19</v>
      </c>
      <c r="F8" s="1"/>
      <c r="G8" s="1"/>
      <c r="H8" s="1" t="s">
        <v>19</v>
      </c>
      <c r="I8" s="1" t="str">
        <f>IF(H8&lt;&gt;"",H8,"")</f>
        <v>X</v>
      </c>
      <c r="J8" s="1" t="s">
        <v>19</v>
      </c>
      <c r="K8" s="1"/>
      <c r="L8" s="1" t="s">
        <v>19</v>
      </c>
      <c r="M8" s="1"/>
      <c r="N8" s="1" t="s">
        <v>19</v>
      </c>
      <c r="O8" s="1"/>
      <c r="P8" s="1"/>
      <c r="Q8" s="1" t="s">
        <v>19</v>
      </c>
      <c r="R8" s="1" t="str">
        <f>IF(S8&lt;&gt;"",S8,IF(S9&lt;&gt;"",S9,""))</f>
        <v/>
      </c>
      <c r="S8" s="1"/>
      <c r="T8" s="1"/>
      <c r="U8" s="1" t="str">
        <f>IF(V8&lt;&gt;"",V8,IF(V9&lt;&gt;"",V9,""))</f>
        <v>X</v>
      </c>
      <c r="V8" s="1" t="s">
        <v>19</v>
      </c>
      <c r="W8" s="1"/>
      <c r="X8" s="1">
        <v>3</v>
      </c>
      <c r="Y8" s="1">
        <v>8.9350000000000005</v>
      </c>
      <c r="Z8" s="1">
        <v>5.2629999999999999</v>
      </c>
      <c r="AA8" s="1">
        <v>3.2599999999999997E-2</v>
      </c>
      <c r="AB8" t="s">
        <v>25</v>
      </c>
    </row>
    <row r="9" spans="1:28" x14ac:dyDescent="0.2">
      <c r="A9" s="2">
        <v>9</v>
      </c>
      <c r="B9" s="1"/>
      <c r="C9" s="1" t="s">
        <v>19</v>
      </c>
      <c r="D9" s="1"/>
      <c r="E9" s="1" t="s">
        <v>19</v>
      </c>
      <c r="F9" s="1"/>
      <c r="G9" s="1"/>
      <c r="H9" s="1"/>
      <c r="I9" s="1" t="str">
        <f>IF(H9&lt;&gt;"",H9,"")</f>
        <v/>
      </c>
      <c r="J9" s="1" t="s">
        <v>19</v>
      </c>
      <c r="K9" s="1"/>
      <c r="L9" s="1" t="s">
        <v>19</v>
      </c>
      <c r="M9" s="1"/>
      <c r="N9" s="1" t="s">
        <v>19</v>
      </c>
      <c r="O9" s="1"/>
      <c r="P9" s="1"/>
      <c r="Q9" s="1" t="s">
        <v>19</v>
      </c>
      <c r="R9" s="1" t="str">
        <f>IF(S9&lt;&gt;"",S9,IF(S10&lt;&gt;"",S10,""))</f>
        <v>X</v>
      </c>
      <c r="S9" s="1"/>
      <c r="T9" s="1"/>
      <c r="U9" s="1" t="str">
        <f>IF(V9&lt;&gt;"",V9,IF(V10&lt;&gt;"",V10,""))</f>
        <v/>
      </c>
      <c r="V9" s="1"/>
      <c r="W9" s="1" t="s">
        <v>19</v>
      </c>
      <c r="X9" s="1">
        <v>4</v>
      </c>
      <c r="Y9" s="1">
        <v>8.7650000000000006</v>
      </c>
      <c r="Z9" s="1">
        <v>5.43</v>
      </c>
      <c r="AA9" s="1">
        <v>3.2599999999999997E-2</v>
      </c>
      <c r="AB9" t="s">
        <v>26</v>
      </c>
    </row>
    <row r="10" spans="1:28" x14ac:dyDescent="0.2">
      <c r="A10" s="2">
        <v>10</v>
      </c>
      <c r="B10" s="1"/>
      <c r="C10" s="1"/>
      <c r="D10" s="1"/>
      <c r="E10" s="1" t="str">
        <f>IF(D10&lt;&gt;"",D10,"")</f>
        <v/>
      </c>
      <c r="F10" s="1"/>
      <c r="G10" s="1"/>
      <c r="H10" s="1"/>
      <c r="I10" s="1" t="str">
        <f>IF(H10&lt;&gt;"",H10,"")</f>
        <v/>
      </c>
      <c r="J10" s="1" t="s">
        <v>19</v>
      </c>
      <c r="K10" s="1"/>
      <c r="L10" s="1" t="s">
        <v>19</v>
      </c>
      <c r="M10" s="1"/>
      <c r="N10" s="1"/>
      <c r="O10" s="1" t="s">
        <v>19</v>
      </c>
      <c r="P10" s="1" t="s">
        <v>19</v>
      </c>
      <c r="Q10" s="1"/>
      <c r="R10" s="1" t="str">
        <f>IF(S10&lt;&gt;"",S10,IF(S11&lt;&gt;"",S11,""))</f>
        <v>X</v>
      </c>
      <c r="S10" s="1" t="s">
        <v>19</v>
      </c>
      <c r="T10" s="1"/>
      <c r="U10" s="1" t="str">
        <f>IF(V10&lt;&gt;"",V10,IF(V11&lt;&gt;"",V11,""))</f>
        <v/>
      </c>
      <c r="V10" s="1"/>
      <c r="W10" s="1"/>
      <c r="X10" s="1">
        <v>13</v>
      </c>
      <c r="Y10" s="1">
        <v>3.5110000000000001</v>
      </c>
      <c r="Z10" s="1">
        <v>1.9650000000000001</v>
      </c>
      <c r="AA10" s="1">
        <v>1.72E-3</v>
      </c>
      <c r="AB10" t="s">
        <v>27</v>
      </c>
    </row>
    <row r="11" spans="1:28" x14ac:dyDescent="0.2">
      <c r="A11" s="2">
        <v>11</v>
      </c>
      <c r="B11" s="1"/>
      <c r="C11" s="1"/>
      <c r="D11" s="1"/>
      <c r="E11" s="1" t="str">
        <f>IF(D11&lt;&gt;"",D11,"")</f>
        <v/>
      </c>
      <c r="F11" s="1"/>
      <c r="G11" s="1" t="s">
        <v>87</v>
      </c>
      <c r="H11" s="1"/>
      <c r="I11" s="1" t="s">
        <v>19</v>
      </c>
      <c r="J11" s="1" t="s">
        <v>19</v>
      </c>
      <c r="K11" s="1"/>
      <c r="L11" s="1" t="s">
        <v>19</v>
      </c>
      <c r="M11" s="1"/>
      <c r="N11" s="1"/>
      <c r="O11" s="1" t="s">
        <v>19</v>
      </c>
      <c r="P11" s="1" t="s">
        <v>19</v>
      </c>
      <c r="Q11" s="1"/>
      <c r="R11" s="1" t="str">
        <f>IF(S11&lt;&gt;"",S11,IF(S12&lt;&gt;"",S12,""))</f>
        <v/>
      </c>
      <c r="S11" s="1"/>
      <c r="T11" s="1" t="s">
        <v>19</v>
      </c>
      <c r="U11" s="1" t="str">
        <f>IF(V11&lt;&gt;"",V11,IF(V12&lt;&gt;"",V12,""))</f>
        <v>X</v>
      </c>
      <c r="V11" s="1"/>
      <c r="W11" s="1"/>
      <c r="X11" s="1">
        <v>19</v>
      </c>
      <c r="Y11" s="1">
        <v>3.5089999999999999</v>
      </c>
      <c r="Z11" s="1">
        <v>1.93</v>
      </c>
      <c r="AA11" s="1">
        <v>1.72E-3</v>
      </c>
      <c r="AB11" t="s">
        <v>28</v>
      </c>
    </row>
    <row r="12" spans="1:28" x14ac:dyDescent="0.2">
      <c r="A12" s="2">
        <v>12</v>
      </c>
      <c r="B12" s="1"/>
      <c r="C12" s="1"/>
      <c r="D12" s="1"/>
      <c r="E12" s="1" t="str">
        <f>IF(D12&lt;&gt;"",D12,"")</f>
        <v/>
      </c>
      <c r="F12" s="1"/>
      <c r="G12" s="1"/>
      <c r="H12" s="1" t="s">
        <v>19</v>
      </c>
      <c r="I12" s="1" t="str">
        <f>IF(H12&lt;&gt;"",H12,"")</f>
        <v>X</v>
      </c>
      <c r="J12" s="1" t="s">
        <v>19</v>
      </c>
      <c r="K12" s="1"/>
      <c r="L12" s="1" t="s">
        <v>19</v>
      </c>
      <c r="M12" s="1"/>
      <c r="N12" s="1"/>
      <c r="O12" s="1" t="s">
        <v>19</v>
      </c>
      <c r="P12" s="1" t="s">
        <v>19</v>
      </c>
      <c r="Q12" s="1"/>
      <c r="R12" s="1" t="str">
        <f>IF(S12&lt;&gt;"",S12,IF(S13&lt;&gt;"",S13,""))</f>
        <v/>
      </c>
      <c r="S12" s="1"/>
      <c r="T12" s="1"/>
      <c r="U12" s="1" t="str">
        <f>IF(V12&lt;&gt;"",V12,IF(V13&lt;&gt;"",V13,""))</f>
        <v>X</v>
      </c>
      <c r="V12" s="1" t="s">
        <v>19</v>
      </c>
      <c r="W12" s="1"/>
      <c r="X12" s="1">
        <v>14</v>
      </c>
      <c r="Y12" s="1">
        <v>4.0439999999999996</v>
      </c>
      <c r="Z12" s="1">
        <v>1.373</v>
      </c>
      <c r="AA12" s="1">
        <v>1.72E-3</v>
      </c>
      <c r="AB12" t="s">
        <v>29</v>
      </c>
    </row>
    <row r="13" spans="1:28" x14ac:dyDescent="0.2">
      <c r="A13" s="2">
        <v>13</v>
      </c>
      <c r="B13" s="1"/>
      <c r="C13" s="1"/>
      <c r="D13" s="1"/>
      <c r="E13" s="1" t="str">
        <f>IF(D13&lt;&gt;"",D13,"")</f>
        <v/>
      </c>
      <c r="F13" s="1"/>
      <c r="G13" s="1"/>
      <c r="H13" s="1" t="s">
        <v>19</v>
      </c>
      <c r="I13" s="1" t="str">
        <f>IF(H13&lt;&gt;"",H13,"")</f>
        <v>X</v>
      </c>
      <c r="J13" s="1" t="s">
        <v>19</v>
      </c>
      <c r="K13" s="1"/>
      <c r="L13" s="1" t="s">
        <v>19</v>
      </c>
      <c r="M13" s="1"/>
      <c r="N13" s="1"/>
      <c r="O13" s="1" t="s">
        <v>19</v>
      </c>
      <c r="P13" s="1" t="s">
        <v>19</v>
      </c>
      <c r="Q13" s="1"/>
      <c r="R13" s="1" t="str">
        <f>IF(S13&lt;&gt;"",S13,IF(S14&lt;&gt;"",S14,""))</f>
        <v>X</v>
      </c>
      <c r="S13" s="1"/>
      <c r="T13" s="1"/>
      <c r="U13" s="1" t="str">
        <f>IF(V13&lt;&gt;"",V13,IF(V14&lt;&gt;"",V14,""))</f>
        <v/>
      </c>
      <c r="V13" s="1"/>
      <c r="W13" s="1" t="s">
        <v>19</v>
      </c>
      <c r="X13" s="1">
        <v>17</v>
      </c>
      <c r="Y13" s="1">
        <v>4.3710000000000004</v>
      </c>
      <c r="Z13" s="1">
        <v>1.556</v>
      </c>
      <c r="AA13" s="1">
        <v>1.72E-3</v>
      </c>
      <c r="AB13" t="s">
        <v>30</v>
      </c>
    </row>
    <row r="14" spans="1:28" x14ac:dyDescent="0.2">
      <c r="A14" s="2">
        <v>14</v>
      </c>
      <c r="B14" s="1"/>
      <c r="C14" s="1" t="s">
        <v>19</v>
      </c>
      <c r="D14" s="1"/>
      <c r="E14" s="1" t="s">
        <v>19</v>
      </c>
      <c r="F14" s="1"/>
      <c r="G14" s="1"/>
      <c r="H14" s="1"/>
      <c r="I14" s="1" t="s">
        <v>19</v>
      </c>
      <c r="J14" s="1" t="s">
        <v>19</v>
      </c>
      <c r="K14" s="1"/>
      <c r="L14" s="1" t="s">
        <v>19</v>
      </c>
      <c r="M14" s="1"/>
      <c r="N14" s="1"/>
      <c r="O14" s="1" t="s">
        <v>19</v>
      </c>
      <c r="P14" s="1"/>
      <c r="Q14" s="1" t="s">
        <v>19</v>
      </c>
      <c r="R14" s="1" t="str">
        <f>IF(S14&lt;&gt;"",S14,IF(S15&lt;&gt;"",S15,""))</f>
        <v>X</v>
      </c>
      <c r="S14" s="1" t="s">
        <v>19</v>
      </c>
      <c r="T14" s="1"/>
      <c r="U14" s="1" t="str">
        <f>IF(V14&lt;&gt;"",V14,IF(V15&lt;&gt;"",V15,""))</f>
        <v/>
      </c>
      <c r="V14" s="1"/>
      <c r="W14" s="1"/>
      <c r="X14" s="1">
        <v>4</v>
      </c>
      <c r="Y14" s="1">
        <v>8.6150000000000002</v>
      </c>
      <c r="Z14" s="1">
        <v>8.6</v>
      </c>
      <c r="AA14" s="1">
        <v>3.159E-2</v>
      </c>
      <c r="AB14" t="s">
        <v>31</v>
      </c>
    </row>
    <row r="15" spans="1:28" x14ac:dyDescent="0.2">
      <c r="A15" s="2">
        <v>15</v>
      </c>
      <c r="B15" s="1" t="s">
        <v>19</v>
      </c>
      <c r="C15" s="1" t="s">
        <v>19</v>
      </c>
      <c r="D15" s="1"/>
      <c r="E15" s="1" t="s">
        <v>19</v>
      </c>
      <c r="F15" s="1"/>
      <c r="G15" s="1"/>
      <c r="H15" s="1"/>
      <c r="I15" s="1" t="s">
        <v>19</v>
      </c>
      <c r="J15" s="1" t="s">
        <v>19</v>
      </c>
      <c r="K15" s="1"/>
      <c r="L15" s="1" t="s">
        <v>19</v>
      </c>
      <c r="M15" s="1"/>
      <c r="N15" s="1"/>
      <c r="O15" s="1" t="s">
        <v>19</v>
      </c>
      <c r="P15" s="1"/>
      <c r="Q15" s="1" t="s">
        <v>19</v>
      </c>
      <c r="R15" s="1" t="str">
        <f>IF(S15&lt;&gt;"",S15,IF(S16&lt;&gt;"",S16,""))</f>
        <v/>
      </c>
      <c r="S15" s="1"/>
      <c r="T15" s="1" t="s">
        <v>19</v>
      </c>
      <c r="U15" s="1" t="str">
        <f>IF(V15&lt;&gt;"",V15,IF(V16&lt;&gt;"",V16,""))</f>
        <v>X</v>
      </c>
      <c r="V15" s="1"/>
      <c r="W15" s="1"/>
      <c r="X15" s="1">
        <v>1</v>
      </c>
      <c r="Y15" s="1">
        <v>9.4740000000000002</v>
      </c>
      <c r="Z15" s="1">
        <v>9.4740000000000002</v>
      </c>
      <c r="AA15" s="1">
        <v>3.159E-2</v>
      </c>
      <c r="AB15" t="s">
        <v>32</v>
      </c>
    </row>
    <row r="16" spans="1:28" x14ac:dyDescent="0.2">
      <c r="A16" s="2">
        <v>16</v>
      </c>
      <c r="B16" s="1"/>
      <c r="C16" s="1" t="s">
        <v>19</v>
      </c>
      <c r="D16" s="1"/>
      <c r="E16" s="1" t="s">
        <v>19</v>
      </c>
      <c r="F16" s="1"/>
      <c r="G16" s="1"/>
      <c r="H16" s="1" t="s">
        <v>19</v>
      </c>
      <c r="I16" s="1" t="str">
        <f>IF(H16&lt;&gt;"",H16,"")</f>
        <v>X</v>
      </c>
      <c r="J16" s="1" t="s">
        <v>19</v>
      </c>
      <c r="K16" s="1"/>
      <c r="L16" s="1" t="s">
        <v>19</v>
      </c>
      <c r="M16" s="1"/>
      <c r="N16" s="1"/>
      <c r="O16" s="1" t="s">
        <v>19</v>
      </c>
      <c r="P16" s="1"/>
      <c r="Q16" s="1" t="s">
        <v>19</v>
      </c>
      <c r="R16" s="1" t="str">
        <f>IF(S16&lt;&gt;"",S16,IF(S17&lt;&gt;"",S17,""))</f>
        <v/>
      </c>
      <c r="S16" s="1"/>
      <c r="T16" s="1"/>
      <c r="U16" s="1" t="str">
        <f>IF(V16&lt;&gt;"",V16,IF(V17&lt;&gt;"",V17,""))</f>
        <v>X</v>
      </c>
      <c r="V16" s="1" t="s">
        <v>19</v>
      </c>
      <c r="W16" s="1"/>
      <c r="X16" s="1">
        <v>3</v>
      </c>
      <c r="Y16" s="1">
        <v>11.36</v>
      </c>
      <c r="Z16" s="1">
        <v>5.6</v>
      </c>
      <c r="AA16" s="1">
        <v>3.159E-2</v>
      </c>
      <c r="AB16" t="s">
        <v>33</v>
      </c>
    </row>
    <row r="17" spans="1:28" x14ac:dyDescent="0.2">
      <c r="A17" s="2">
        <v>17</v>
      </c>
      <c r="B17" s="1"/>
      <c r="C17" s="1" t="s">
        <v>19</v>
      </c>
      <c r="D17" s="1"/>
      <c r="E17" s="1" t="s">
        <v>19</v>
      </c>
      <c r="F17" s="1"/>
      <c r="G17" s="1"/>
      <c r="H17" s="1" t="s">
        <v>19</v>
      </c>
      <c r="I17" s="1" t="str">
        <f>IF(H17&lt;&gt;"",H17,"")</f>
        <v>X</v>
      </c>
      <c r="J17" s="1" t="s">
        <v>19</v>
      </c>
      <c r="K17" s="1"/>
      <c r="L17" s="1" t="s">
        <v>19</v>
      </c>
      <c r="M17" s="1"/>
      <c r="N17" s="1"/>
      <c r="O17" s="1" t="s">
        <v>19</v>
      </c>
      <c r="P17" s="1"/>
      <c r="Q17" s="1" t="s">
        <v>19</v>
      </c>
      <c r="R17" s="1" t="str">
        <f>IF(S17&lt;&gt;"",S17,IF(S18&lt;&gt;"",S18,""))</f>
        <v>X</v>
      </c>
      <c r="S17" s="1"/>
      <c r="T17" s="1"/>
      <c r="U17" s="1" t="str">
        <f>IF(V17&lt;&gt;"",V17,IF(V18&lt;&gt;"",V18,""))</f>
        <v/>
      </c>
      <c r="V17" s="1"/>
      <c r="W17" s="1" t="s">
        <v>19</v>
      </c>
      <c r="X17" s="1">
        <v>3</v>
      </c>
      <c r="Y17" s="1">
        <v>11.9</v>
      </c>
      <c r="Z17" s="1">
        <v>6.14</v>
      </c>
      <c r="AA17" s="1">
        <v>3.159E-2</v>
      </c>
      <c r="AB17" t="s">
        <v>34</v>
      </c>
    </row>
    <row r="18" spans="1:28" x14ac:dyDescent="0.2">
      <c r="A18" s="2">
        <v>18</v>
      </c>
      <c r="B18" s="1"/>
      <c r="C18" s="1"/>
      <c r="D18" s="1"/>
      <c r="E18" s="1" t="str">
        <f>IF(D18&lt;&gt;"",D18,"")</f>
        <v/>
      </c>
      <c r="F18" s="1"/>
      <c r="G18" s="1"/>
      <c r="H18" s="1" t="s">
        <v>19</v>
      </c>
      <c r="I18" s="1" t="str">
        <f>IF(H18&lt;&gt;"",H18,"")</f>
        <v>X</v>
      </c>
      <c r="J18" s="1" t="s">
        <v>19</v>
      </c>
      <c r="K18" s="1"/>
      <c r="L18" s="1"/>
      <c r="M18" s="1" t="s">
        <v>19</v>
      </c>
      <c r="N18" s="1" t="s">
        <v>19</v>
      </c>
      <c r="O18" s="1"/>
      <c r="P18" s="1" t="s">
        <v>19</v>
      </c>
      <c r="Q18" s="1"/>
      <c r="R18" s="1" t="str">
        <f>IF(S18&lt;&gt;"",S18,IF(S19&lt;&gt;"",S19,""))</f>
        <v>X</v>
      </c>
      <c r="S18" s="1" t="s">
        <v>19</v>
      </c>
      <c r="T18" s="1"/>
      <c r="U18" s="1" t="str">
        <f>IF(V18&lt;&gt;"",V18,IF(V19&lt;&gt;"",V19,""))</f>
        <v/>
      </c>
      <c r="V18" s="1"/>
      <c r="W18" s="1"/>
      <c r="X18" s="1">
        <v>13</v>
      </c>
      <c r="Y18" s="1">
        <v>1.4370000000000001</v>
      </c>
      <c r="Z18" s="1">
        <v>1.0840000000000001</v>
      </c>
      <c r="AA18" s="1">
        <v>3.9490000000000003E-3</v>
      </c>
      <c r="AB18" t="s">
        <v>35</v>
      </c>
    </row>
    <row r="19" spans="1:28" x14ac:dyDescent="0.2">
      <c r="A19" s="2">
        <v>19</v>
      </c>
      <c r="B19" s="1"/>
      <c r="C19" s="1"/>
      <c r="D19" s="1"/>
      <c r="E19" s="1" t="str">
        <f>IF(D19&lt;&gt;"",D19,"")</f>
        <v/>
      </c>
      <c r="F19" s="1"/>
      <c r="G19" s="1"/>
      <c r="H19" s="1"/>
      <c r="I19" s="1" t="str">
        <f>IF(H19&lt;&gt;"",H19,"")</f>
        <v/>
      </c>
      <c r="J19" s="1" t="s">
        <v>19</v>
      </c>
      <c r="K19" s="1"/>
      <c r="L19" s="1"/>
      <c r="M19" s="1" t="s">
        <v>19</v>
      </c>
      <c r="N19" s="1" t="s">
        <v>19</v>
      </c>
      <c r="O19" s="1"/>
      <c r="P19" s="1" t="s">
        <v>19</v>
      </c>
      <c r="Q19" s="1"/>
      <c r="R19" s="1" t="str">
        <f>IF(S19&lt;&gt;"",S19,IF(S20&lt;&gt;"",S20,""))</f>
        <v/>
      </c>
      <c r="S19" s="1"/>
      <c r="T19" s="1" t="s">
        <v>19</v>
      </c>
      <c r="U19" s="1" t="str">
        <f>IF(V19&lt;&gt;"",V19,IF(V20&lt;&gt;"",V20,""))</f>
        <v>X</v>
      </c>
      <c r="V19" s="1"/>
      <c r="W19" s="1"/>
      <c r="X19" s="1">
        <v>19</v>
      </c>
      <c r="Y19" s="1">
        <v>1.502</v>
      </c>
      <c r="Z19" s="1">
        <v>1.099</v>
      </c>
      <c r="AA19" s="1">
        <v>3.9490000000000003E-3</v>
      </c>
      <c r="AB19" t="s">
        <v>36</v>
      </c>
    </row>
    <row r="20" spans="1:28" x14ac:dyDescent="0.2">
      <c r="A20" s="2">
        <v>20</v>
      </c>
      <c r="B20" s="1"/>
      <c r="C20" s="1" t="s">
        <v>19</v>
      </c>
      <c r="D20" s="1" t="s">
        <v>19</v>
      </c>
      <c r="E20" s="1" t="str">
        <f>IF(D20&lt;&gt;"",D20,"")</f>
        <v>X</v>
      </c>
      <c r="F20" s="1"/>
      <c r="G20" s="1"/>
      <c r="H20" s="1" t="s">
        <v>19</v>
      </c>
      <c r="I20" s="1" t="str">
        <f>IF(H20&lt;&gt;"",H20,"")</f>
        <v>X</v>
      </c>
      <c r="J20" s="1" t="s">
        <v>19</v>
      </c>
      <c r="K20" s="1"/>
      <c r="L20" s="1"/>
      <c r="M20" s="1" t="s">
        <v>19</v>
      </c>
      <c r="N20" s="1" t="s">
        <v>19</v>
      </c>
      <c r="O20" s="1"/>
      <c r="P20" s="1" t="s">
        <v>19</v>
      </c>
      <c r="Q20" s="1"/>
      <c r="R20" s="1" t="str">
        <f>IF(S20&lt;&gt;"",S20,IF(S21&lt;&gt;"",S21,""))</f>
        <v/>
      </c>
      <c r="S20" s="1"/>
      <c r="T20" s="1"/>
      <c r="U20" s="1" t="str">
        <f>IF(V20&lt;&gt;"",V20,IF(V21&lt;&gt;"",V21,""))</f>
        <v>X</v>
      </c>
      <c r="V20" s="1" t="s">
        <v>19</v>
      </c>
      <c r="W20" s="1"/>
      <c r="X20" s="1">
        <v>2</v>
      </c>
      <c r="Y20" s="1">
        <v>1.8959999999999999</v>
      </c>
      <c r="Z20" s="1">
        <v>1.3220000000000001</v>
      </c>
      <c r="AA20" s="1">
        <v>3.9490000000000003E-3</v>
      </c>
      <c r="AB20" t="s">
        <v>37</v>
      </c>
    </row>
    <row r="21" spans="1:28" x14ac:dyDescent="0.2">
      <c r="A21" s="2">
        <v>21</v>
      </c>
      <c r="B21" s="1"/>
      <c r="C21" s="1" t="s">
        <v>19</v>
      </c>
      <c r="D21" s="1" t="s">
        <v>19</v>
      </c>
      <c r="E21" s="1" t="str">
        <f>IF(D21&lt;&gt;"",D21,"")</f>
        <v>X</v>
      </c>
      <c r="F21" s="1"/>
      <c r="G21" s="1"/>
      <c r="H21" s="1" t="s">
        <v>19</v>
      </c>
      <c r="I21" s="1" t="str">
        <f>IF(H21&lt;&gt;"",H21,"")</f>
        <v>X</v>
      </c>
      <c r="J21" s="1" t="s">
        <v>19</v>
      </c>
      <c r="K21" s="1"/>
      <c r="L21" s="1"/>
      <c r="M21" s="1" t="s">
        <v>19</v>
      </c>
      <c r="N21" s="1" t="s">
        <v>19</v>
      </c>
      <c r="O21" s="1"/>
      <c r="P21" s="1" t="s">
        <v>19</v>
      </c>
      <c r="Q21" s="1"/>
      <c r="R21" s="1" t="str">
        <f>IF(S21&lt;&gt;"",S21,IF(S22&lt;&gt;"",S22,""))</f>
        <v>X</v>
      </c>
      <c r="S21" s="1"/>
      <c r="T21" s="1"/>
      <c r="U21" s="1" t="str">
        <f>IF(V21&lt;&gt;"",V21,IF(V22&lt;&gt;"",V22,""))</f>
        <v/>
      </c>
      <c r="V21" s="1"/>
      <c r="W21" s="1" t="s">
        <v>19</v>
      </c>
      <c r="X21" s="1">
        <v>2</v>
      </c>
      <c r="Y21" s="1">
        <v>2.3439999999999999</v>
      </c>
      <c r="Z21" s="1">
        <v>1.6479999999999999</v>
      </c>
      <c r="AA21" s="1">
        <v>3.9490000000000003E-3</v>
      </c>
      <c r="AB21" t="s">
        <v>38</v>
      </c>
    </row>
    <row r="22" spans="1:28" x14ac:dyDescent="0.2">
      <c r="A22" s="2">
        <v>22</v>
      </c>
      <c r="B22" s="1" t="s">
        <v>19</v>
      </c>
      <c r="C22" s="1" t="s">
        <v>19</v>
      </c>
      <c r="D22" s="1"/>
      <c r="E22" s="1" t="str">
        <f>IF(D22&lt;&gt;"",D22,"")</f>
        <v/>
      </c>
      <c r="F22" s="1"/>
      <c r="G22" s="1"/>
      <c r="H22" s="1" t="s">
        <v>19</v>
      </c>
      <c r="I22" s="1" t="str">
        <f>IF(H22&lt;&gt;"",H22,"")</f>
        <v>X</v>
      </c>
      <c r="J22" s="1" t="s">
        <v>19</v>
      </c>
      <c r="K22" s="1"/>
      <c r="L22" s="1"/>
      <c r="M22" s="1" t="s">
        <v>19</v>
      </c>
      <c r="N22" s="1" t="s">
        <v>19</v>
      </c>
      <c r="O22" s="1"/>
      <c r="P22" s="1"/>
      <c r="Q22" s="1" t="s">
        <v>19</v>
      </c>
      <c r="R22" s="1" t="str">
        <f>IF(S22&lt;&gt;"",S22,IF(S23&lt;&gt;"",S23,""))</f>
        <v>X</v>
      </c>
      <c r="S22" s="1" t="s">
        <v>19</v>
      </c>
      <c r="T22" s="1"/>
      <c r="U22" s="1" t="str">
        <f>IF(V22&lt;&gt;"",V22,IF(V23&lt;&gt;"",V23,""))</f>
        <v/>
      </c>
      <c r="V22" s="1"/>
      <c r="W22" s="1"/>
      <c r="X22" s="1">
        <v>1</v>
      </c>
      <c r="Y22" s="1">
        <v>3.8370000000000002</v>
      </c>
      <c r="Z22" s="1">
        <v>3.8370000000000002</v>
      </c>
      <c r="AA22" s="1">
        <v>1.5650000000000001E-2</v>
      </c>
      <c r="AB22" t="s">
        <v>39</v>
      </c>
    </row>
    <row r="23" spans="1:28" x14ac:dyDescent="0.2">
      <c r="A23" s="2">
        <v>23</v>
      </c>
      <c r="B23" s="1"/>
      <c r="C23" s="1" t="s">
        <v>19</v>
      </c>
      <c r="D23" s="1"/>
      <c r="E23" s="1" t="str">
        <f>IF(D23&lt;&gt;"",D23,"")</f>
        <v/>
      </c>
      <c r="F23" s="1"/>
      <c r="G23" s="1"/>
      <c r="H23" s="1"/>
      <c r="I23" s="1" t="str">
        <f>IF(H23&lt;&gt;"",H23,"")</f>
        <v/>
      </c>
      <c r="J23" s="1" t="s">
        <v>19</v>
      </c>
      <c r="K23" s="1"/>
      <c r="L23" s="1"/>
      <c r="M23" s="1" t="s">
        <v>19</v>
      </c>
      <c r="N23" s="1" t="s">
        <v>19</v>
      </c>
      <c r="O23" s="1"/>
      <c r="P23" s="1"/>
      <c r="Q23" s="1" t="s">
        <v>19</v>
      </c>
      <c r="R23" s="1" t="str">
        <f>IF(S23&lt;&gt;"",S23,IF(S24&lt;&gt;"",S24,""))</f>
        <v/>
      </c>
      <c r="S23" s="1"/>
      <c r="T23" s="1" t="s">
        <v>19</v>
      </c>
      <c r="U23" s="1" t="str">
        <f>IF(V23&lt;&gt;"",V23,IF(V24&lt;&gt;"",V24,""))</f>
        <v>X</v>
      </c>
      <c r="V23" s="1"/>
      <c r="W23" s="1"/>
      <c r="X23" s="1">
        <v>2</v>
      </c>
      <c r="Y23" s="1">
        <v>4.415</v>
      </c>
      <c r="Z23" s="1">
        <v>3.5470000000000002</v>
      </c>
      <c r="AA23" s="1">
        <v>1.5650000000000001E-2</v>
      </c>
      <c r="AB23" t="s">
        <v>40</v>
      </c>
    </row>
    <row r="24" spans="1:28" x14ac:dyDescent="0.2">
      <c r="A24" s="2">
        <v>24</v>
      </c>
      <c r="B24" s="1"/>
      <c r="C24" s="1" t="s">
        <v>19</v>
      </c>
      <c r="D24" s="1"/>
      <c r="E24" s="1" t="s">
        <v>19</v>
      </c>
      <c r="F24" s="1"/>
      <c r="G24" s="1"/>
      <c r="H24" s="1" t="s">
        <v>19</v>
      </c>
      <c r="I24" s="1" t="str">
        <f>IF(H24&lt;&gt;"",H24,"")</f>
        <v>X</v>
      </c>
      <c r="J24" s="1" t="s">
        <v>19</v>
      </c>
      <c r="K24" s="1"/>
      <c r="L24" s="1"/>
      <c r="M24" s="1" t="s">
        <v>19</v>
      </c>
      <c r="N24" s="1" t="s">
        <v>19</v>
      </c>
      <c r="O24" s="1"/>
      <c r="P24" s="1"/>
      <c r="Q24" s="1" t="s">
        <v>19</v>
      </c>
      <c r="R24" s="1" t="str">
        <f>IF(S24&lt;&gt;"",S24,IF(S25&lt;&gt;"",S25,""))</f>
        <v/>
      </c>
      <c r="S24" s="1"/>
      <c r="T24" s="1"/>
      <c r="U24" s="1" t="str">
        <f>IF(V24&lt;&gt;"",V24,IF(V25&lt;&gt;"",V25,""))</f>
        <v>X</v>
      </c>
      <c r="V24" s="1" t="s">
        <v>19</v>
      </c>
      <c r="W24" s="1"/>
      <c r="X24" s="1">
        <v>2</v>
      </c>
      <c r="Y24" s="1">
        <v>5.7549999999999999</v>
      </c>
      <c r="Z24" s="1">
        <v>3.1909999999999998</v>
      </c>
      <c r="AA24" s="1">
        <v>1.5650000000000001E-2</v>
      </c>
      <c r="AB24" t="s">
        <v>41</v>
      </c>
    </row>
    <row r="25" spans="1:28" x14ac:dyDescent="0.2">
      <c r="A25" s="2">
        <v>25</v>
      </c>
      <c r="B25" s="1"/>
      <c r="C25" s="1" t="s">
        <v>19</v>
      </c>
      <c r="D25" s="1" t="s">
        <v>19</v>
      </c>
      <c r="E25" s="1" t="str">
        <f>IF(D25&lt;&gt;"",D25,"")</f>
        <v>X</v>
      </c>
      <c r="F25" s="1"/>
      <c r="G25" s="1"/>
      <c r="H25" s="1" t="s">
        <v>19</v>
      </c>
      <c r="I25" s="1" t="str">
        <f>IF(H25&lt;&gt;"",H25,"")</f>
        <v>X</v>
      </c>
      <c r="J25" s="1" t="s">
        <v>19</v>
      </c>
      <c r="K25" s="1"/>
      <c r="L25" s="1"/>
      <c r="M25" s="1" t="s">
        <v>19</v>
      </c>
      <c r="N25" s="1" t="s">
        <v>19</v>
      </c>
      <c r="O25" s="1"/>
      <c r="P25" s="1"/>
      <c r="Q25" s="1" t="s">
        <v>19</v>
      </c>
      <c r="R25" s="1" t="str">
        <f>IF(S25&lt;&gt;"",S25,IF(S26&lt;&gt;"",S26,""))</f>
        <v>X</v>
      </c>
      <c r="S25" s="1"/>
      <c r="T25" s="1"/>
      <c r="U25" s="1" t="str">
        <f>IF(V25&lt;&gt;"",V25,IF(V26&lt;&gt;"",V26,""))</f>
        <v/>
      </c>
      <c r="V25" s="1"/>
      <c r="W25" s="1" t="s">
        <v>19</v>
      </c>
      <c r="X25" s="1">
        <v>2</v>
      </c>
      <c r="Y25" s="1">
        <v>7.0590000000000002</v>
      </c>
      <c r="Z25" s="1">
        <v>3.75</v>
      </c>
      <c r="AA25" s="1">
        <v>1.5650000000000001E-2</v>
      </c>
      <c r="AB25" t="s">
        <v>42</v>
      </c>
    </row>
    <row r="26" spans="1:28" x14ac:dyDescent="0.2">
      <c r="A26" s="2">
        <v>26</v>
      </c>
      <c r="B26" s="1"/>
      <c r="C26" s="1"/>
      <c r="D26" s="1"/>
      <c r="E26" s="1" t="str">
        <f>IF(D26&lt;&gt;"",D26,"")</f>
        <v/>
      </c>
      <c r="F26" s="1"/>
      <c r="G26" s="1"/>
      <c r="H26" s="1"/>
      <c r="I26" s="1" t="str">
        <f>IF(H26&lt;&gt;"",H26,"")</f>
        <v/>
      </c>
      <c r="J26" s="1" t="s">
        <v>19</v>
      </c>
      <c r="K26" s="1"/>
      <c r="L26" s="1"/>
      <c r="M26" s="1" t="s">
        <v>19</v>
      </c>
      <c r="N26" s="1"/>
      <c r="O26" s="1" t="s">
        <v>19</v>
      </c>
      <c r="P26" s="1" t="s">
        <v>19</v>
      </c>
      <c r="Q26" s="1"/>
      <c r="R26" s="1" t="str">
        <f>IF(S26&lt;&gt;"",S26,IF(S27&lt;&gt;"",S27,""))</f>
        <v>X</v>
      </c>
      <c r="S26" s="1" t="s">
        <v>19</v>
      </c>
      <c r="T26" s="1"/>
      <c r="U26" s="1" t="str">
        <f>IF(V26&lt;&gt;"",V26,IF(V27&lt;&gt;"",V27,""))</f>
        <v/>
      </c>
      <c r="V26" s="1"/>
      <c r="W26" s="1"/>
      <c r="X26" s="1">
        <v>13</v>
      </c>
      <c r="Y26" s="1">
        <v>3.3010000000000002</v>
      </c>
      <c r="Z26" s="1">
        <v>2.5960000000000001</v>
      </c>
      <c r="AA26" s="1">
        <v>9.4369999999999992E-3</v>
      </c>
      <c r="AB26" t="s">
        <v>43</v>
      </c>
    </row>
    <row r="27" spans="1:28" x14ac:dyDescent="0.2">
      <c r="A27" s="2">
        <v>27</v>
      </c>
      <c r="B27" s="1"/>
      <c r="C27" s="1"/>
      <c r="D27" s="1"/>
      <c r="E27" s="1" t="str">
        <f>IF(D27&lt;&gt;"",D27,"")</f>
        <v/>
      </c>
      <c r="F27" s="1"/>
      <c r="G27" s="1"/>
      <c r="H27" s="1"/>
      <c r="I27" s="1" t="str">
        <f>IF(H27&lt;&gt;"",H27,"")</f>
        <v/>
      </c>
      <c r="J27" s="1" t="s">
        <v>19</v>
      </c>
      <c r="K27" s="1"/>
      <c r="L27" s="1"/>
      <c r="M27" s="1" t="s">
        <v>19</v>
      </c>
      <c r="N27" s="1"/>
      <c r="O27" s="1" t="s">
        <v>19</v>
      </c>
      <c r="P27" s="1" t="s">
        <v>19</v>
      </c>
      <c r="Q27" s="1"/>
      <c r="R27" s="1" t="str">
        <f>IF(S27&lt;&gt;"",S27,IF(S28&lt;&gt;"",S28,""))</f>
        <v/>
      </c>
      <c r="S27" s="1"/>
      <c r="T27" s="1" t="s">
        <v>19</v>
      </c>
      <c r="U27" s="1" t="str">
        <f>IF(V27&lt;&gt;"",V27,IF(V28&lt;&gt;"",V28,""))</f>
        <v>X</v>
      </c>
      <c r="V27" s="1"/>
      <c r="W27" s="1"/>
      <c r="X27" s="1">
        <v>19</v>
      </c>
      <c r="Y27" s="1">
        <v>3.4209999999999998</v>
      </c>
      <c r="Z27" s="1">
        <v>2.7189999999999999</v>
      </c>
      <c r="AA27" s="1">
        <v>9.4369999999999992E-3</v>
      </c>
      <c r="AB27" t="s">
        <v>44</v>
      </c>
    </row>
    <row r="28" spans="1:28" x14ac:dyDescent="0.2">
      <c r="A28" s="2">
        <v>28</v>
      </c>
      <c r="B28" s="1"/>
      <c r="C28" s="1" t="s">
        <v>19</v>
      </c>
      <c r="D28" s="1" t="s">
        <v>19</v>
      </c>
      <c r="E28" s="1" t="str">
        <f>IF(D28&lt;&gt;"",D28,"")</f>
        <v>X</v>
      </c>
      <c r="F28" s="1"/>
      <c r="G28" s="1"/>
      <c r="H28" s="1" t="s">
        <v>19</v>
      </c>
      <c r="I28" s="1" t="str">
        <f>IF(H28&lt;&gt;"",H28,"")</f>
        <v>X</v>
      </c>
      <c r="J28" s="1" t="s">
        <v>19</v>
      </c>
      <c r="K28" s="1"/>
      <c r="L28" s="1"/>
      <c r="M28" s="1" t="s">
        <v>19</v>
      </c>
      <c r="N28" s="1"/>
      <c r="O28" s="1" t="s">
        <v>19</v>
      </c>
      <c r="P28" s="1" t="s">
        <v>19</v>
      </c>
      <c r="Q28" s="1"/>
      <c r="R28" s="1" t="str">
        <f>IF(S28&lt;&gt;"",S28,IF(S29&lt;&gt;"",S29,""))</f>
        <v/>
      </c>
      <c r="S28" s="1"/>
      <c r="T28" s="1"/>
      <c r="U28" s="1" t="str">
        <f>IF(V28&lt;&gt;"",V28,IF(V29&lt;&gt;"",V29,""))</f>
        <v>X</v>
      </c>
      <c r="V28" s="1" t="s">
        <v>19</v>
      </c>
      <c r="W28" s="1"/>
      <c r="X28" s="1">
        <v>2</v>
      </c>
      <c r="Y28" s="1">
        <v>4.9690000000000003</v>
      </c>
      <c r="Z28" s="1">
        <v>3.6589999999999998</v>
      </c>
      <c r="AA28" s="1">
        <v>9.4369999999999992E-3</v>
      </c>
      <c r="AB28" t="s">
        <v>45</v>
      </c>
    </row>
    <row r="29" spans="1:28" x14ac:dyDescent="0.2">
      <c r="A29" s="2">
        <v>29</v>
      </c>
      <c r="B29" s="1"/>
      <c r="C29" s="1" t="s">
        <v>19</v>
      </c>
      <c r="D29" s="1" t="s">
        <v>19</v>
      </c>
      <c r="E29" s="1" t="str">
        <f>IF(D29&lt;&gt;"",D29,"")</f>
        <v>X</v>
      </c>
      <c r="F29" s="1"/>
      <c r="G29" s="1"/>
      <c r="H29" s="1" t="s">
        <v>19</v>
      </c>
      <c r="I29" s="1" t="str">
        <f>IF(H29&lt;&gt;"",H29,"")</f>
        <v>X</v>
      </c>
      <c r="J29" s="1" t="s">
        <v>19</v>
      </c>
      <c r="K29" s="1"/>
      <c r="L29" s="1"/>
      <c r="M29" s="1" t="s">
        <v>19</v>
      </c>
      <c r="N29" s="1"/>
      <c r="O29" s="1" t="s">
        <v>19</v>
      </c>
      <c r="P29" s="1" t="s">
        <v>19</v>
      </c>
      <c r="Q29" s="1"/>
      <c r="R29" s="1" t="str">
        <f>IF(S29&lt;&gt;"",S29,IF(S30&lt;&gt;"",S30,""))</f>
        <v>X</v>
      </c>
      <c r="S29" s="1"/>
      <c r="T29" s="1"/>
      <c r="U29" s="1" t="str">
        <f>IF(V29&lt;&gt;"",V29,IF(V30&lt;&gt;"",V30,""))</f>
        <v/>
      </c>
      <c r="V29" s="1"/>
      <c r="W29" s="1" t="s">
        <v>19</v>
      </c>
      <c r="X29" s="1">
        <v>2</v>
      </c>
      <c r="Y29" s="1">
        <v>6.0609999999999999</v>
      </c>
      <c r="Z29" s="1">
        <v>4.6150000000000002</v>
      </c>
      <c r="AA29" s="1">
        <v>9.4369999999999992E-3</v>
      </c>
      <c r="AB29" t="s">
        <v>46</v>
      </c>
    </row>
    <row r="30" spans="1:28" x14ac:dyDescent="0.2">
      <c r="A30" s="2">
        <v>30</v>
      </c>
      <c r="B30" s="1" t="s">
        <v>19</v>
      </c>
      <c r="C30" s="1" t="s">
        <v>19</v>
      </c>
      <c r="D30" s="1"/>
      <c r="E30" s="1" t="str">
        <f>IF(D30&lt;&gt;"",D30,"")</f>
        <v/>
      </c>
      <c r="F30" s="1"/>
      <c r="G30" s="1"/>
      <c r="H30" s="1" t="s">
        <v>19</v>
      </c>
      <c r="I30" s="1" t="str">
        <f>IF(H30&lt;&gt;"",H30,"")</f>
        <v>X</v>
      </c>
      <c r="J30" s="1" t="s">
        <v>19</v>
      </c>
      <c r="K30" s="1"/>
      <c r="L30" s="1"/>
      <c r="M30" s="1" t="s">
        <v>19</v>
      </c>
      <c r="N30" s="1"/>
      <c r="O30" s="1" t="s">
        <v>19</v>
      </c>
      <c r="P30" s="1"/>
      <c r="Q30" s="1" t="s">
        <v>19</v>
      </c>
      <c r="R30" s="1" t="str">
        <f>IF(S30&lt;&gt;"",S30,IF(S31&lt;&gt;"",S31,""))</f>
        <v>X</v>
      </c>
      <c r="S30" s="1" t="s">
        <v>19</v>
      </c>
      <c r="T30" s="1"/>
      <c r="U30" s="1" t="str">
        <f>IF(V30&lt;&gt;"",V30,IF(V31&lt;&gt;"",V31,""))</f>
        <v/>
      </c>
      <c r="V30" s="1"/>
      <c r="W30" s="1"/>
      <c r="X30" s="1">
        <v>1</v>
      </c>
      <c r="Y30" s="1">
        <v>9.609</v>
      </c>
      <c r="Z30" s="1">
        <v>9.609</v>
      </c>
      <c r="AA30" s="1">
        <v>6.0999999999999999E-2</v>
      </c>
      <c r="AB30" t="s">
        <v>47</v>
      </c>
    </row>
    <row r="31" spans="1:28" x14ac:dyDescent="0.2">
      <c r="A31" s="2">
        <v>31</v>
      </c>
      <c r="B31" s="1" t="s">
        <v>19</v>
      </c>
      <c r="C31" s="1" t="s">
        <v>19</v>
      </c>
      <c r="D31" s="1"/>
      <c r="E31" s="1" t="s">
        <v>19</v>
      </c>
      <c r="F31" s="1"/>
      <c r="G31" s="1"/>
      <c r="H31" s="1"/>
      <c r="I31" s="1" t="str">
        <f>IF(H31&lt;&gt;"",H31,"")</f>
        <v/>
      </c>
      <c r="J31" s="1" t="s">
        <v>19</v>
      </c>
      <c r="K31" s="1"/>
      <c r="L31" s="1"/>
      <c r="M31" s="1" t="s">
        <v>19</v>
      </c>
      <c r="N31" s="1"/>
      <c r="O31" s="1" t="s">
        <v>19</v>
      </c>
      <c r="P31" s="1"/>
      <c r="Q31" s="1" t="s">
        <v>19</v>
      </c>
      <c r="R31" s="1" t="str">
        <f>IF(S31&lt;&gt;"",S31,IF(S32&lt;&gt;"",S32,""))</f>
        <v/>
      </c>
      <c r="S31" s="1"/>
      <c r="T31" s="1" t="s">
        <v>19</v>
      </c>
      <c r="U31" s="1" t="str">
        <f>IF(V31&lt;&gt;"",V31,IF(V32&lt;&gt;"",V32,""))</f>
        <v>X</v>
      </c>
      <c r="V31" s="1"/>
      <c r="W31" s="1"/>
      <c r="X31" s="1">
        <v>1</v>
      </c>
      <c r="Y31" s="1">
        <v>9.3539999999999992</v>
      </c>
      <c r="Z31" s="1">
        <v>9.3539999999999992</v>
      </c>
      <c r="AA31" s="1">
        <v>6.0999999999999999E-2</v>
      </c>
      <c r="AB31" t="s">
        <v>48</v>
      </c>
    </row>
    <row r="32" spans="1:28" x14ac:dyDescent="0.2">
      <c r="A32" s="2">
        <v>32</v>
      </c>
      <c r="B32" s="1"/>
      <c r="C32" s="1" t="s">
        <v>19</v>
      </c>
      <c r="D32" s="1" t="s">
        <v>19</v>
      </c>
      <c r="E32" s="1" t="str">
        <f>IF(D32&lt;&gt;"",D32,"")</f>
        <v>X</v>
      </c>
      <c r="F32" s="1"/>
      <c r="G32" s="1"/>
      <c r="H32" s="1" t="s">
        <v>19</v>
      </c>
      <c r="I32" s="1" t="str">
        <f>IF(H32&lt;&gt;"",H32,"")</f>
        <v>X</v>
      </c>
      <c r="J32" s="1" t="s">
        <v>19</v>
      </c>
      <c r="K32" s="1"/>
      <c r="L32" s="1"/>
      <c r="M32" s="1" t="s">
        <v>19</v>
      </c>
      <c r="N32" s="1"/>
      <c r="O32" s="1" t="s">
        <v>19</v>
      </c>
      <c r="P32" s="1"/>
      <c r="Q32" s="1" t="s">
        <v>19</v>
      </c>
      <c r="R32" s="1" t="str">
        <f>IF(S32&lt;&gt;"",S32,IF(S33&lt;&gt;"",S33,""))</f>
        <v/>
      </c>
      <c r="S32" s="1"/>
      <c r="T32" s="1"/>
      <c r="U32" s="1" t="str">
        <f>IF(V32&lt;&gt;"",V32,IF(V33&lt;&gt;"",V33,""))</f>
        <v>X</v>
      </c>
      <c r="V32" s="1" t="s">
        <v>19</v>
      </c>
      <c r="W32" s="1"/>
      <c r="X32" s="1">
        <v>2</v>
      </c>
      <c r="Y32" s="1">
        <v>18.61</v>
      </c>
      <c r="Z32" s="1">
        <v>8.8239999999999998</v>
      </c>
      <c r="AA32" s="1">
        <v>6.0999999999999999E-2</v>
      </c>
      <c r="AB32" t="s">
        <v>49</v>
      </c>
    </row>
    <row r="33" spans="1:28" x14ac:dyDescent="0.2">
      <c r="A33" s="2">
        <v>33</v>
      </c>
      <c r="B33" s="1"/>
      <c r="C33" s="1" t="s">
        <v>19</v>
      </c>
      <c r="D33" s="1" t="s">
        <v>19</v>
      </c>
      <c r="E33" s="1" t="str">
        <f>IF(D33&lt;&gt;"",D33,"")</f>
        <v>X</v>
      </c>
      <c r="F33" s="1"/>
      <c r="G33" s="1"/>
      <c r="H33" s="1" t="s">
        <v>19</v>
      </c>
      <c r="I33" s="1" t="str">
        <f>IF(H33&lt;&gt;"",H33,"")</f>
        <v>X</v>
      </c>
      <c r="J33" s="1" t="s">
        <v>19</v>
      </c>
      <c r="K33" s="1"/>
      <c r="L33" s="1"/>
      <c r="M33" s="1" t="s">
        <v>19</v>
      </c>
      <c r="N33" s="1"/>
      <c r="O33" s="1" t="s">
        <v>19</v>
      </c>
      <c r="P33" s="1"/>
      <c r="Q33" s="1" t="s">
        <v>19</v>
      </c>
      <c r="R33" s="1" t="str">
        <f>IF(S33&lt;&gt;"",S33,IF(S34&lt;&gt;"",S34,""))</f>
        <v>X</v>
      </c>
      <c r="S33" s="1"/>
      <c r="T33" s="1"/>
      <c r="U33" s="1" t="str">
        <f>IF(V33&lt;&gt;"",V33,IF(V34&lt;&gt;"",V34,""))</f>
        <v/>
      </c>
      <c r="V33" s="1"/>
      <c r="W33" s="1" t="s">
        <v>19</v>
      </c>
      <c r="X33" s="1">
        <v>2</v>
      </c>
      <c r="Y33" s="1">
        <v>18.75</v>
      </c>
      <c r="Z33" s="1">
        <v>11.11</v>
      </c>
      <c r="AA33" s="1">
        <v>6.0999999999999999E-2</v>
      </c>
      <c r="AB33" t="s">
        <v>50</v>
      </c>
    </row>
    <row r="34" spans="1:28" x14ac:dyDescent="0.2">
      <c r="A34" s="2">
        <v>34</v>
      </c>
      <c r="B34" s="1"/>
      <c r="C34" s="1"/>
      <c r="D34" s="1"/>
      <c r="E34" s="1" t="str">
        <f>IF(D34&lt;&gt;"",D34,"")</f>
        <v/>
      </c>
      <c r="F34" s="1"/>
      <c r="G34" s="1" t="s">
        <v>19</v>
      </c>
      <c r="H34" s="1"/>
      <c r="I34" s="1" t="str">
        <f>IF(H34&lt;&gt;"",H34,"")</f>
        <v/>
      </c>
      <c r="J34" s="1"/>
      <c r="K34" s="1" t="s">
        <v>19</v>
      </c>
      <c r="L34" s="1" t="s">
        <v>19</v>
      </c>
      <c r="M34" s="1"/>
      <c r="N34" s="1" t="s">
        <v>19</v>
      </c>
      <c r="O34" s="1"/>
      <c r="P34" s="1" t="s">
        <v>19</v>
      </c>
      <c r="Q34" s="1"/>
      <c r="R34" s="1" t="str">
        <f>IF(S34&lt;&gt;"",S34,IF(S35&lt;&gt;"",S35,""))</f>
        <v>X</v>
      </c>
      <c r="S34" s="1" t="s">
        <v>19</v>
      </c>
      <c r="T34" s="1"/>
      <c r="U34" s="1" t="str">
        <f>IF(V34&lt;&gt;"",V34,IF(V35&lt;&gt;"",V35,""))</f>
        <v/>
      </c>
      <c r="V34" s="1"/>
      <c r="W34" s="1"/>
      <c r="X34" s="1">
        <v>16</v>
      </c>
      <c r="Y34" s="1">
        <v>5.7750000000000004</v>
      </c>
      <c r="Z34" s="1">
        <v>0.35199999999999998</v>
      </c>
      <c r="AA34" s="1">
        <v>3.7769999999999998E-2</v>
      </c>
      <c r="AB34" t="s">
        <v>51</v>
      </c>
    </row>
    <row r="35" spans="1:28" x14ac:dyDescent="0.2">
      <c r="A35" s="2">
        <v>35</v>
      </c>
      <c r="B35" s="1"/>
      <c r="C35" s="1"/>
      <c r="D35" s="1"/>
      <c r="E35" s="1" t="str">
        <f>IF(D35&lt;&gt;"",D35,"")</f>
        <v/>
      </c>
      <c r="F35" s="1"/>
      <c r="G35" s="1" t="s">
        <v>19</v>
      </c>
      <c r="H35" s="1"/>
      <c r="I35" s="1" t="str">
        <f>IF(H35&lt;&gt;"",H35,"")</f>
        <v/>
      </c>
      <c r="J35" s="1"/>
      <c r="K35" s="1" t="s">
        <v>19</v>
      </c>
      <c r="L35" s="1" t="s">
        <v>19</v>
      </c>
      <c r="M35" s="1"/>
      <c r="N35" s="1" t="s">
        <v>19</v>
      </c>
      <c r="O35" s="1"/>
      <c r="P35" s="1" t="s">
        <v>19</v>
      </c>
      <c r="Q35" s="1"/>
      <c r="R35" s="1" t="str">
        <f>IF(S35&lt;&gt;"",S35,IF(S36&lt;&gt;"",S36,""))</f>
        <v/>
      </c>
      <c r="S35" s="1"/>
      <c r="T35" s="1" t="s">
        <v>19</v>
      </c>
      <c r="U35" s="1" t="str">
        <f>IF(V35&lt;&gt;"",V35,IF(V36&lt;&gt;"",V36,""))</f>
        <v>X</v>
      </c>
      <c r="V35" s="1"/>
      <c r="W35" s="1"/>
      <c r="X35" s="1">
        <v>20</v>
      </c>
      <c r="Y35" s="1">
        <v>5.7160000000000002</v>
      </c>
      <c r="Z35" s="1">
        <v>0.22</v>
      </c>
      <c r="AA35" s="1">
        <v>3.7769999999999998E-2</v>
      </c>
      <c r="AB35" t="s">
        <v>52</v>
      </c>
    </row>
    <row r="36" spans="1:28" x14ac:dyDescent="0.2">
      <c r="A36" s="2">
        <v>36</v>
      </c>
      <c r="B36" s="1"/>
      <c r="C36" s="1"/>
      <c r="D36" s="1"/>
      <c r="E36" s="1" t="str">
        <f>IF(D36&lt;&gt;"",D36,"")</f>
        <v/>
      </c>
      <c r="F36" s="1"/>
      <c r="G36" s="1" t="s">
        <v>19</v>
      </c>
      <c r="H36" s="1"/>
      <c r="I36" s="1" t="str">
        <f>IF(H36&lt;&gt;"",H36,"")</f>
        <v/>
      </c>
      <c r="J36" s="1"/>
      <c r="K36" s="1" t="s">
        <v>19</v>
      </c>
      <c r="L36" s="1" t="s">
        <v>19</v>
      </c>
      <c r="M36" s="1"/>
      <c r="N36" s="1" t="s">
        <v>19</v>
      </c>
      <c r="O36" s="1"/>
      <c r="P36" s="1" t="s">
        <v>19</v>
      </c>
      <c r="Q36" s="1"/>
      <c r="R36" s="1" t="str">
        <f>IF(S36&lt;&gt;"",S36,IF(S37&lt;&gt;"",S37,""))</f>
        <v/>
      </c>
      <c r="S36" s="1"/>
      <c r="T36" s="1"/>
      <c r="U36" s="1" t="str">
        <f>IF(V36&lt;&gt;"",V36,IF(V37&lt;&gt;"",V37,""))</f>
        <v>X</v>
      </c>
      <c r="V36" s="1" t="s">
        <v>19</v>
      </c>
      <c r="W36" s="1"/>
      <c r="X36" s="1">
        <v>16</v>
      </c>
      <c r="Y36" s="1">
        <v>7.2409999999999997</v>
      </c>
      <c r="Z36" s="1">
        <v>0.151</v>
      </c>
      <c r="AA36" s="1">
        <v>3.7769999999999998E-2</v>
      </c>
      <c r="AB36" t="s">
        <v>53</v>
      </c>
    </row>
    <row r="37" spans="1:28" x14ac:dyDescent="0.2">
      <c r="A37" s="2">
        <v>37</v>
      </c>
      <c r="B37" s="1"/>
      <c r="C37" s="1"/>
      <c r="D37" s="1"/>
      <c r="E37" s="1" t="str">
        <f>IF(D37&lt;&gt;"",D37,"")</f>
        <v/>
      </c>
      <c r="F37" s="1"/>
      <c r="G37" s="1" t="s">
        <v>19</v>
      </c>
      <c r="H37" s="1"/>
      <c r="I37" s="1" t="str">
        <f>IF(H37&lt;&gt;"",H37,"")</f>
        <v/>
      </c>
      <c r="J37" s="1"/>
      <c r="K37" s="1" t="s">
        <v>19</v>
      </c>
      <c r="L37" s="1" t="s">
        <v>19</v>
      </c>
      <c r="M37" s="1"/>
      <c r="N37" s="1" t="s">
        <v>19</v>
      </c>
      <c r="O37" s="1"/>
      <c r="P37" s="1" t="s">
        <v>19</v>
      </c>
      <c r="Q37" s="1"/>
      <c r="R37" s="1" t="str">
        <f>IF(S37&lt;&gt;"",S37,IF(S38&lt;&gt;"",S38,""))</f>
        <v>X</v>
      </c>
      <c r="S37" s="1"/>
      <c r="T37" s="1"/>
      <c r="U37" s="1" t="str">
        <f>IF(V37&lt;&gt;"",V37,IF(V38&lt;&gt;"",V38,""))</f>
        <v/>
      </c>
      <c r="V37" s="1"/>
      <c r="W37" s="1" t="s">
        <v>19</v>
      </c>
      <c r="X37" s="1">
        <v>20</v>
      </c>
      <c r="Y37" s="1">
        <v>7.1050000000000004</v>
      </c>
      <c r="Z37" s="1">
        <v>0.19</v>
      </c>
      <c r="AA37" s="1">
        <v>3.7769999999999998E-2</v>
      </c>
      <c r="AB37" t="s">
        <v>54</v>
      </c>
    </row>
    <row r="38" spans="1:28" x14ac:dyDescent="0.2">
      <c r="A38" s="2">
        <v>38</v>
      </c>
      <c r="B38" s="1"/>
      <c r="C38" s="1"/>
      <c r="D38" s="1"/>
      <c r="E38" s="1" t="str">
        <f>IF(D38&lt;&gt;"",D38,"")</f>
        <v/>
      </c>
      <c r="F38" s="1"/>
      <c r="G38" s="1" t="s">
        <v>19</v>
      </c>
      <c r="H38" s="1"/>
      <c r="I38" s="1" t="str">
        <f>IF(H38&lt;&gt;"",H38,"")</f>
        <v/>
      </c>
      <c r="J38" s="1"/>
      <c r="K38" s="1" t="s">
        <v>19</v>
      </c>
      <c r="L38" s="1" t="s">
        <v>19</v>
      </c>
      <c r="M38" s="1"/>
      <c r="N38" s="1" t="s">
        <v>19</v>
      </c>
      <c r="O38" s="1"/>
      <c r="P38" s="1"/>
      <c r="Q38" s="1" t="s">
        <v>19</v>
      </c>
      <c r="R38" s="1" t="str">
        <f>IF(S38&lt;&gt;"",S38,IF(S39&lt;&gt;"",S39,""))</f>
        <v>X</v>
      </c>
      <c r="S38" s="1" t="s">
        <v>19</v>
      </c>
      <c r="T38" s="1"/>
      <c r="U38" s="1" t="str">
        <f>IF(V38&lt;&gt;"",V38,IF(V39&lt;&gt;"",V39,""))</f>
        <v/>
      </c>
      <c r="V38" s="1"/>
      <c r="W38" s="1"/>
      <c r="X38" s="1">
        <v>16</v>
      </c>
      <c r="Y38" s="1">
        <v>11.01</v>
      </c>
      <c r="Z38" s="1">
        <v>2.2450000000000001</v>
      </c>
      <c r="AA38" s="1">
        <v>3.1759999999999997E-2</v>
      </c>
      <c r="AB38" t="s">
        <v>55</v>
      </c>
    </row>
    <row r="39" spans="1:28" x14ac:dyDescent="0.2">
      <c r="A39" s="2">
        <v>39</v>
      </c>
      <c r="B39" s="1"/>
      <c r="C39" s="1"/>
      <c r="D39" s="1"/>
      <c r="E39" s="1" t="str">
        <f>IF(D39&lt;&gt;"",D39,"")</f>
        <v/>
      </c>
      <c r="F39" s="1"/>
      <c r="G39" s="1" t="s">
        <v>19</v>
      </c>
      <c r="H39" s="1"/>
      <c r="I39" s="1" t="str">
        <f>IF(H39&lt;&gt;"",H39,"")</f>
        <v/>
      </c>
      <c r="J39" s="1"/>
      <c r="K39" s="1" t="s">
        <v>19</v>
      </c>
      <c r="L39" s="1" t="s">
        <v>19</v>
      </c>
      <c r="M39" s="1"/>
      <c r="N39" s="1" t="s">
        <v>19</v>
      </c>
      <c r="O39" s="1"/>
      <c r="P39" s="1"/>
      <c r="Q39" s="1" t="s">
        <v>19</v>
      </c>
      <c r="R39" s="1" t="str">
        <f>IF(S39&lt;&gt;"",S39,IF(S40&lt;&gt;"",S40,""))</f>
        <v/>
      </c>
      <c r="S39" s="1"/>
      <c r="T39" s="1" t="s">
        <v>19</v>
      </c>
      <c r="U39" s="1" t="str">
        <f>IF(V39&lt;&gt;"",V39,IF(V40&lt;&gt;"",V40,""))</f>
        <v>X</v>
      </c>
      <c r="V39" s="1"/>
      <c r="W39" s="1"/>
      <c r="X39" s="1">
        <v>20</v>
      </c>
      <c r="Y39" s="1">
        <v>12.05</v>
      </c>
      <c r="Z39" s="1">
        <v>1.9910000000000001</v>
      </c>
      <c r="AA39" s="1">
        <v>3.1759999999999997E-2</v>
      </c>
      <c r="AB39" t="s">
        <v>56</v>
      </c>
    </row>
    <row r="40" spans="1:28" x14ac:dyDescent="0.2">
      <c r="A40" s="2">
        <v>40</v>
      </c>
      <c r="B40" s="1"/>
      <c r="C40" s="1"/>
      <c r="D40" s="1"/>
      <c r="E40" s="1" t="str">
        <f>IF(D40&lt;&gt;"",D40,"")</f>
        <v/>
      </c>
      <c r="F40" s="1"/>
      <c r="G40" s="1" t="s">
        <v>19</v>
      </c>
      <c r="H40" s="1"/>
      <c r="I40" s="1" t="str">
        <f>IF(H40&lt;&gt;"",H40,"")</f>
        <v/>
      </c>
      <c r="J40" s="1"/>
      <c r="K40" s="1" t="s">
        <v>19</v>
      </c>
      <c r="L40" s="1" t="s">
        <v>19</v>
      </c>
      <c r="M40" s="1"/>
      <c r="N40" s="1" t="s">
        <v>19</v>
      </c>
      <c r="O40" s="1"/>
      <c r="P40" s="1"/>
      <c r="Q40" s="1" t="s">
        <v>19</v>
      </c>
      <c r="R40" s="1" t="str">
        <f>IF(S40&lt;&gt;"",S40,IF(S41&lt;&gt;"",S41,""))</f>
        <v/>
      </c>
      <c r="S40" s="1"/>
      <c r="T40" s="1"/>
      <c r="U40" s="1" t="str">
        <f>IF(V40&lt;&gt;"",V40,IF(V41&lt;&gt;"",V41,""))</f>
        <v>X</v>
      </c>
      <c r="V40" s="1" t="s">
        <v>19</v>
      </c>
      <c r="W40" s="1"/>
      <c r="X40" s="1">
        <v>16</v>
      </c>
      <c r="Y40" s="1">
        <v>13.1</v>
      </c>
      <c r="Z40" s="1">
        <v>0.87</v>
      </c>
      <c r="AA40" s="1">
        <v>3.1759999999999997E-2</v>
      </c>
      <c r="AB40" t="s">
        <v>57</v>
      </c>
    </row>
    <row r="41" spans="1:28" x14ac:dyDescent="0.2">
      <c r="A41" s="2">
        <v>41</v>
      </c>
      <c r="B41" s="1"/>
      <c r="C41" s="1"/>
      <c r="D41" s="1"/>
      <c r="E41" s="1" t="str">
        <f>IF(D41&lt;&gt;"",D41,"")</f>
        <v/>
      </c>
      <c r="F41" s="1"/>
      <c r="G41" s="1" t="s">
        <v>19</v>
      </c>
      <c r="H41" s="1"/>
      <c r="I41" s="1" t="str">
        <f>IF(H41&lt;&gt;"",H41,"")</f>
        <v/>
      </c>
      <c r="J41" s="1"/>
      <c r="K41" s="1" t="s">
        <v>19</v>
      </c>
      <c r="L41" s="1" t="s">
        <v>19</v>
      </c>
      <c r="M41" s="1"/>
      <c r="N41" s="1" t="s">
        <v>19</v>
      </c>
      <c r="O41" s="1"/>
      <c r="P41" s="1"/>
      <c r="Q41" s="1" t="s">
        <v>19</v>
      </c>
      <c r="R41" s="1" t="str">
        <f>IF(S41&lt;&gt;"",S41,IF(S42&lt;&gt;"",S42,""))</f>
        <v>X</v>
      </c>
      <c r="S41" s="1"/>
      <c r="T41" s="1"/>
      <c r="U41" s="1" t="str">
        <f>IF(V41&lt;&gt;"",V41,IF(V42&lt;&gt;"",V42,""))</f>
        <v/>
      </c>
      <c r="V41" s="1"/>
      <c r="W41" s="1" t="s">
        <v>19</v>
      </c>
      <c r="X41" s="1">
        <v>20</v>
      </c>
      <c r="Y41" s="1">
        <v>14.25</v>
      </c>
      <c r="Z41" s="1">
        <v>0.98</v>
      </c>
      <c r="AA41" s="1">
        <v>3.1759999999999997E-2</v>
      </c>
      <c r="AB41" t="s">
        <v>58</v>
      </c>
    </row>
    <row r="42" spans="1:28" x14ac:dyDescent="0.2">
      <c r="A42" s="2">
        <v>42</v>
      </c>
      <c r="B42" s="1"/>
      <c r="C42" s="1"/>
      <c r="D42" s="1"/>
      <c r="E42" s="1" t="str">
        <f>IF(D42&lt;&gt;"",D42,"")</f>
        <v/>
      </c>
      <c r="F42" s="1" t="s">
        <v>19</v>
      </c>
      <c r="G42" s="1" t="str">
        <f>IF(F42&lt;&gt;"",F42,"")</f>
        <v>X</v>
      </c>
      <c r="H42" s="1"/>
      <c r="I42" s="1" t="str">
        <f>IF(H42&lt;&gt;"",H42,"")</f>
        <v/>
      </c>
      <c r="J42" s="1"/>
      <c r="K42" s="1" t="s">
        <v>19</v>
      </c>
      <c r="L42" s="1" t="s">
        <v>19</v>
      </c>
      <c r="M42" s="1"/>
      <c r="N42" s="1"/>
      <c r="O42" s="1" t="s">
        <v>19</v>
      </c>
      <c r="P42" s="1" t="s">
        <v>19</v>
      </c>
      <c r="Q42" s="1"/>
      <c r="R42" s="1" t="str">
        <f>IF(S42&lt;&gt;"",S42,IF(S43&lt;&gt;"",S43,""))</f>
        <v>X</v>
      </c>
      <c r="S42" s="1" t="s">
        <v>19</v>
      </c>
      <c r="T42" s="1"/>
      <c r="U42" s="1" t="str">
        <f>IF(V42&lt;&gt;"",V42,IF(V43&lt;&gt;"",V43,""))</f>
        <v/>
      </c>
      <c r="V42" s="1"/>
      <c r="W42" s="1"/>
      <c r="X42" s="1">
        <v>16</v>
      </c>
      <c r="Y42" s="1">
        <v>12.57</v>
      </c>
      <c r="Z42" s="1">
        <v>0.28100000000000003</v>
      </c>
      <c r="AA42" s="1">
        <v>5.5359999999999999E-2</v>
      </c>
      <c r="AB42" t="s">
        <v>59</v>
      </c>
    </row>
    <row r="43" spans="1:28" x14ac:dyDescent="0.2">
      <c r="A43" s="2">
        <v>43</v>
      </c>
      <c r="B43" s="1"/>
      <c r="C43" s="1"/>
      <c r="D43" s="1"/>
      <c r="E43" s="1" t="str">
        <f>IF(D43&lt;&gt;"",D43,"")</f>
        <v/>
      </c>
      <c r="F43" s="1" t="s">
        <v>19</v>
      </c>
      <c r="G43" s="1" t="str">
        <f>IF(F43&lt;&gt;"",F43,"")</f>
        <v>X</v>
      </c>
      <c r="H43" s="1"/>
      <c r="I43" s="1" t="str">
        <f>IF(H43&lt;&gt;"",H43,"")</f>
        <v/>
      </c>
      <c r="J43" s="1"/>
      <c r="K43" s="1" t="s">
        <v>19</v>
      </c>
      <c r="L43" s="1" t="s">
        <v>19</v>
      </c>
      <c r="M43" s="1"/>
      <c r="N43" s="1"/>
      <c r="O43" s="1" t="s">
        <v>19</v>
      </c>
      <c r="P43" s="1" t="s">
        <v>19</v>
      </c>
      <c r="Q43" s="1"/>
      <c r="R43" s="1" t="str">
        <f>IF(S43&lt;&gt;"",S43,IF(S44&lt;&gt;"",S44,""))</f>
        <v/>
      </c>
      <c r="S43" s="1"/>
      <c r="T43" s="1" t="s">
        <v>19</v>
      </c>
      <c r="U43" s="1" t="str">
        <f>IF(V43&lt;&gt;"",V43,IF(V44&lt;&gt;"",V44,""))</f>
        <v>X</v>
      </c>
      <c r="V43" s="1"/>
      <c r="W43" s="1"/>
      <c r="X43" s="1">
        <v>20</v>
      </c>
      <c r="Y43" s="1">
        <v>14.31</v>
      </c>
      <c r="Z43" s="1">
        <v>0.26300000000000001</v>
      </c>
      <c r="AA43" s="1">
        <v>5.5359999999999999E-2</v>
      </c>
      <c r="AB43" t="s">
        <v>60</v>
      </c>
    </row>
    <row r="44" spans="1:28" x14ac:dyDescent="0.2">
      <c r="A44" s="2">
        <v>44</v>
      </c>
      <c r="B44" s="1"/>
      <c r="C44" s="1"/>
      <c r="D44" s="1"/>
      <c r="E44" s="1" t="str">
        <f>IF(D44&lt;&gt;"",D44,"")</f>
        <v/>
      </c>
      <c r="F44" s="1" t="s">
        <v>19</v>
      </c>
      <c r="G44" s="1" t="str">
        <f>IF(F44&lt;&gt;"",F44,"")</f>
        <v>X</v>
      </c>
      <c r="H44" s="1"/>
      <c r="I44" s="1" t="str">
        <f>IF(H44&lt;&gt;"",H44,"")</f>
        <v/>
      </c>
      <c r="J44" s="1"/>
      <c r="K44" s="1" t="s">
        <v>19</v>
      </c>
      <c r="L44" s="1" t="s">
        <v>19</v>
      </c>
      <c r="M44" s="1"/>
      <c r="N44" s="1"/>
      <c r="O44" s="1" t="s">
        <v>19</v>
      </c>
      <c r="P44" s="1" t="s">
        <v>19</v>
      </c>
      <c r="Q44" s="1"/>
      <c r="R44" s="1" t="str">
        <f>IF(S44&lt;&gt;"",S44,IF(S45&lt;&gt;"",S45,""))</f>
        <v/>
      </c>
      <c r="S44" s="1"/>
      <c r="T44" s="1"/>
      <c r="U44" s="1" t="str">
        <f>IF(V44&lt;&gt;"",V44,IF(V45&lt;&gt;"",V45,""))</f>
        <v>X</v>
      </c>
      <c r="V44" s="1" t="s">
        <v>19</v>
      </c>
      <c r="W44" s="1"/>
      <c r="X44" s="1">
        <v>16</v>
      </c>
      <c r="Y44" s="1">
        <v>17.62</v>
      </c>
      <c r="Z44" s="1">
        <v>0.217</v>
      </c>
      <c r="AA44" s="1">
        <v>5.5359999999999999E-2</v>
      </c>
      <c r="AB44" t="s">
        <v>61</v>
      </c>
    </row>
    <row r="45" spans="1:28" x14ac:dyDescent="0.2">
      <c r="A45" s="2">
        <v>45</v>
      </c>
      <c r="B45" s="1"/>
      <c r="C45" s="1"/>
      <c r="D45" s="1"/>
      <c r="E45" s="1" t="str">
        <f>IF(D45&lt;&gt;"",D45,"")</f>
        <v/>
      </c>
      <c r="F45" s="1" t="s">
        <v>19</v>
      </c>
      <c r="G45" s="1" t="str">
        <f>IF(F45&lt;&gt;"",F45,"")</f>
        <v>X</v>
      </c>
      <c r="H45" s="1"/>
      <c r="I45" s="1" t="str">
        <f>IF(H45&lt;&gt;"",H45,"")</f>
        <v/>
      </c>
      <c r="J45" s="1"/>
      <c r="K45" s="1" t="s">
        <v>19</v>
      </c>
      <c r="L45" s="1" t="s">
        <v>19</v>
      </c>
      <c r="M45" s="1"/>
      <c r="N45" s="1"/>
      <c r="O45" s="1" t="s">
        <v>19</v>
      </c>
      <c r="P45" s="1" t="s">
        <v>19</v>
      </c>
      <c r="Q45" s="1"/>
      <c r="R45" s="1" t="str">
        <f>IF(S45&lt;&gt;"",S45,IF(S46&lt;&gt;"",S46,""))</f>
        <v>X</v>
      </c>
      <c r="S45" s="1"/>
      <c r="T45" s="1"/>
      <c r="U45" s="1" t="str">
        <f>IF(V45&lt;&gt;"",V45,IF(V46&lt;&gt;"",V46,""))</f>
        <v/>
      </c>
      <c r="V45" s="1"/>
      <c r="W45" s="1" t="s">
        <v>19</v>
      </c>
      <c r="X45" s="1">
        <v>19</v>
      </c>
      <c r="Y45" s="1">
        <v>19.149999999999999</v>
      </c>
      <c r="Z45" s="1">
        <v>0.253</v>
      </c>
      <c r="AA45" s="1">
        <v>5.5359999999999999E-2</v>
      </c>
      <c r="AB45" t="s">
        <v>62</v>
      </c>
    </row>
    <row r="46" spans="1:28" x14ac:dyDescent="0.2">
      <c r="A46" s="2">
        <v>46</v>
      </c>
      <c r="B46" s="1"/>
      <c r="C46" s="1"/>
      <c r="D46" s="1"/>
      <c r="E46" s="1" t="str">
        <f>IF(D46&lt;&gt;"",D46,"")</f>
        <v/>
      </c>
      <c r="F46" s="1" t="s">
        <v>19</v>
      </c>
      <c r="G46" s="1" t="str">
        <f>IF(F46&lt;&gt;"",F46,"")</f>
        <v>X</v>
      </c>
      <c r="H46" s="1"/>
      <c r="I46" s="1" t="str">
        <f>IF(H46&lt;&gt;"",H46,"")</f>
        <v/>
      </c>
      <c r="J46" s="1"/>
      <c r="K46" s="1" t="s">
        <v>19</v>
      </c>
      <c r="L46" s="1" t="s">
        <v>19</v>
      </c>
      <c r="M46" s="1"/>
      <c r="N46" s="1"/>
      <c r="O46" s="1" t="s">
        <v>19</v>
      </c>
      <c r="P46" s="1"/>
      <c r="Q46" s="1" t="s">
        <v>19</v>
      </c>
      <c r="R46" s="1" t="str">
        <f>IF(S46&lt;&gt;"",S46,IF(S47&lt;&gt;"",S47,""))</f>
        <v>X</v>
      </c>
      <c r="S46" s="1" t="s">
        <v>19</v>
      </c>
      <c r="T46" s="1"/>
      <c r="U46" s="1" t="str">
        <f>IF(V46&lt;&gt;"",V46,IF(V47&lt;&gt;"",V47,""))</f>
        <v/>
      </c>
      <c r="V46" s="1"/>
      <c r="W46" s="1"/>
      <c r="X46" s="1">
        <v>16</v>
      </c>
      <c r="Y46" s="1">
        <v>23.14</v>
      </c>
      <c r="Z46" s="1">
        <v>0.84299999999999997</v>
      </c>
      <c r="AA46" s="1">
        <v>7.4749999999999997E-2</v>
      </c>
      <c r="AB46" t="s">
        <v>63</v>
      </c>
    </row>
    <row r="47" spans="1:28" x14ac:dyDescent="0.2">
      <c r="A47" s="2">
        <v>47</v>
      </c>
      <c r="B47" s="1"/>
      <c r="C47" s="1"/>
      <c r="D47" s="1"/>
      <c r="E47" s="1" t="str">
        <f>IF(D47&lt;&gt;"",D47,"")</f>
        <v/>
      </c>
      <c r="F47" s="1" t="s">
        <v>19</v>
      </c>
      <c r="G47" s="1" t="str">
        <f>IF(F47&lt;&gt;"",F47,"")</f>
        <v>X</v>
      </c>
      <c r="H47" s="1"/>
      <c r="I47" s="1" t="str">
        <f>IF(H47&lt;&gt;"",H47,"")</f>
        <v/>
      </c>
      <c r="J47" s="1"/>
      <c r="K47" s="1" t="s">
        <v>19</v>
      </c>
      <c r="L47" s="1" t="s">
        <v>19</v>
      </c>
      <c r="M47" s="1"/>
      <c r="N47" s="1"/>
      <c r="O47" s="1" t="s">
        <v>19</v>
      </c>
      <c r="P47" s="1"/>
      <c r="Q47" s="1" t="s">
        <v>19</v>
      </c>
      <c r="R47" s="1" t="str">
        <f>IF(S47&lt;&gt;"",S47,IF(S48&lt;&gt;"",S48,""))</f>
        <v/>
      </c>
      <c r="S47" s="1"/>
      <c r="T47" s="1" t="s">
        <v>19</v>
      </c>
      <c r="U47" s="1" t="str">
        <f>IF(V47&lt;&gt;"",V47,IF(V48&lt;&gt;"",V48,""))</f>
        <v>X</v>
      </c>
      <c r="V47" s="1"/>
      <c r="W47" s="1"/>
      <c r="X47" s="1">
        <v>20</v>
      </c>
      <c r="Y47" s="1">
        <v>24.26</v>
      </c>
      <c r="Z47" s="1">
        <v>1.0529999999999999</v>
      </c>
      <c r="AA47" s="1">
        <v>7.4749999999999997E-2</v>
      </c>
      <c r="AB47" t="s">
        <v>64</v>
      </c>
    </row>
    <row r="48" spans="1:28" x14ac:dyDescent="0.2">
      <c r="A48" s="2">
        <v>48</v>
      </c>
      <c r="B48" s="1"/>
      <c r="C48" s="1"/>
      <c r="D48" s="1"/>
      <c r="E48" s="1" t="str">
        <f>IF(D48&lt;&gt;"",D48,"")</f>
        <v/>
      </c>
      <c r="F48" s="1" t="s">
        <v>19</v>
      </c>
      <c r="G48" s="1" t="str">
        <f>IF(F48&lt;&gt;"",F48,"")</f>
        <v>X</v>
      </c>
      <c r="H48" s="1"/>
      <c r="I48" s="1" t="str">
        <f>IF(H48&lt;&gt;"",H48,"")</f>
        <v/>
      </c>
      <c r="J48" s="1"/>
      <c r="K48" s="1" t="s">
        <v>19</v>
      </c>
      <c r="L48" s="1" t="s">
        <v>19</v>
      </c>
      <c r="M48" s="1"/>
      <c r="N48" s="1"/>
      <c r="O48" s="1" t="s">
        <v>19</v>
      </c>
      <c r="P48" s="1"/>
      <c r="Q48" s="1" t="s">
        <v>19</v>
      </c>
      <c r="R48" s="1" t="str">
        <f>IF(S48&lt;&gt;"",S48,IF(S49&lt;&gt;"",S49,""))</f>
        <v/>
      </c>
      <c r="S48" s="1"/>
      <c r="T48" s="1"/>
      <c r="U48" s="1" t="str">
        <f>IF(V48&lt;&gt;"",V48,IF(V49&lt;&gt;"",V49,""))</f>
        <v>X</v>
      </c>
      <c r="V48" s="1" t="s">
        <v>19</v>
      </c>
      <c r="W48" s="1"/>
      <c r="X48" s="1">
        <v>15</v>
      </c>
      <c r="Y48" s="1">
        <v>27.67</v>
      </c>
      <c r="Z48" s="1">
        <v>0.58799999999999997</v>
      </c>
      <c r="AA48" s="1">
        <v>7.4749999999999997E-2</v>
      </c>
      <c r="AB48" t="s">
        <v>65</v>
      </c>
    </row>
    <row r="49" spans="1:28" x14ac:dyDescent="0.2">
      <c r="A49" s="2">
        <v>49</v>
      </c>
      <c r="B49" s="1"/>
      <c r="C49" s="1"/>
      <c r="D49" s="1"/>
      <c r="E49" s="1" t="str">
        <f>IF(D49&lt;&gt;"",D49,"")</f>
        <v/>
      </c>
      <c r="F49" s="1" t="s">
        <v>19</v>
      </c>
      <c r="G49" s="1" t="str">
        <f>IF(F49&lt;&gt;"",F49,"")</f>
        <v>X</v>
      </c>
      <c r="H49" s="1"/>
      <c r="I49" s="1" t="str">
        <f>IF(H49&lt;&gt;"",H49,"")</f>
        <v/>
      </c>
      <c r="J49" s="1"/>
      <c r="K49" s="1" t="s">
        <v>19</v>
      </c>
      <c r="L49" s="1" t="s">
        <v>19</v>
      </c>
      <c r="M49" s="1"/>
      <c r="N49" s="1"/>
      <c r="O49" s="1" t="s">
        <v>19</v>
      </c>
      <c r="P49" s="1"/>
      <c r="Q49" s="1" t="s">
        <v>19</v>
      </c>
      <c r="R49" s="1" t="str">
        <f>IF(S49&lt;&gt;"",S49,IF(S50&lt;&gt;"",S50,""))</f>
        <v>X</v>
      </c>
      <c r="S49" s="1"/>
      <c r="T49" s="1"/>
      <c r="U49" s="1" t="str">
        <f>IF(V49&lt;&gt;"",V49,IF(V50&lt;&gt;"",V50,""))</f>
        <v/>
      </c>
      <c r="V49" s="1"/>
      <c r="W49" s="1" t="s">
        <v>19</v>
      </c>
      <c r="X49" s="1">
        <v>19</v>
      </c>
      <c r="Y49" s="1">
        <v>33.65</v>
      </c>
      <c r="Z49" s="1">
        <v>0.621</v>
      </c>
      <c r="AA49" s="1">
        <v>7.4749999999999997E-2</v>
      </c>
      <c r="AB49" t="s">
        <v>66</v>
      </c>
    </row>
    <row r="50" spans="1:28" x14ac:dyDescent="0.2">
      <c r="A50" s="2">
        <v>50</v>
      </c>
      <c r="B50" s="1"/>
      <c r="C50" s="1"/>
      <c r="D50" s="1"/>
      <c r="E50" s="1" t="str">
        <f>IF(D50&lt;&gt;"",D50,"")</f>
        <v/>
      </c>
      <c r="F50" s="1"/>
      <c r="G50" s="1" t="s">
        <v>19</v>
      </c>
      <c r="H50" s="1"/>
      <c r="I50" s="1" t="str">
        <f>IF(H50&lt;&gt;"",H50,"")</f>
        <v/>
      </c>
      <c r="J50" s="1"/>
      <c r="K50" s="1" t="s">
        <v>19</v>
      </c>
      <c r="L50" s="1"/>
      <c r="M50" s="1" t="s">
        <v>19</v>
      </c>
      <c r="N50" s="1" t="s">
        <v>19</v>
      </c>
      <c r="O50" s="1"/>
      <c r="P50" s="1" t="s">
        <v>19</v>
      </c>
      <c r="Q50" s="1"/>
      <c r="R50" s="1" t="str">
        <f>IF(S50&lt;&gt;"",S50,IF(S51&lt;&gt;"",S51,""))</f>
        <v>X</v>
      </c>
      <c r="S50" s="1" t="s">
        <v>19</v>
      </c>
      <c r="T50" s="1"/>
      <c r="U50" s="1" t="str">
        <f>IF(V50&lt;&gt;"",V50,IF(V51&lt;&gt;"",V51,""))</f>
        <v/>
      </c>
      <c r="V50" s="1"/>
      <c r="W50" s="1"/>
      <c r="X50" s="1">
        <v>16</v>
      </c>
      <c r="Y50" s="1">
        <v>3.02</v>
      </c>
      <c r="Z50" s="1">
        <v>0.14699999999999999</v>
      </c>
      <c r="AA50" s="1">
        <v>6.1740000000000003E-2</v>
      </c>
      <c r="AB50" t="s">
        <v>67</v>
      </c>
    </row>
    <row r="51" spans="1:28" x14ac:dyDescent="0.2">
      <c r="A51" s="2">
        <v>51</v>
      </c>
      <c r="B51" s="1"/>
      <c r="C51" s="1"/>
      <c r="D51" s="1"/>
      <c r="E51" s="1" t="str">
        <f>IF(D51&lt;&gt;"",D51,"")</f>
        <v/>
      </c>
      <c r="F51" s="1"/>
      <c r="G51" s="1" t="s">
        <v>19</v>
      </c>
      <c r="H51" s="1"/>
      <c r="I51" s="1" t="str">
        <f>IF(H51&lt;&gt;"",H51,"")</f>
        <v/>
      </c>
      <c r="J51" s="1"/>
      <c r="K51" s="1" t="s">
        <v>19</v>
      </c>
      <c r="L51" s="1"/>
      <c r="M51" s="1" t="s">
        <v>19</v>
      </c>
      <c r="N51" s="1" t="s">
        <v>19</v>
      </c>
      <c r="O51" s="1"/>
      <c r="P51" s="1" t="s">
        <v>19</v>
      </c>
      <c r="Q51" s="1"/>
      <c r="R51" s="1" t="str">
        <f>IF(S51&lt;&gt;"",S51,IF(S52&lt;&gt;"",S52,""))</f>
        <v/>
      </c>
      <c r="S51" s="1"/>
      <c r="T51" s="1" t="s">
        <v>19</v>
      </c>
      <c r="U51" s="1" t="str">
        <f>IF(V51&lt;&gt;"",V51,IF(V52&lt;&gt;"",V52,""))</f>
        <v>X</v>
      </c>
      <c r="V51" s="1"/>
      <c r="W51" s="1"/>
      <c r="X51" s="1">
        <v>20</v>
      </c>
      <c r="Y51" s="1">
        <v>2.8580000000000001</v>
      </c>
      <c r="Z51" s="1">
        <v>0.11</v>
      </c>
      <c r="AA51" s="1">
        <v>6.1740000000000003E-2</v>
      </c>
      <c r="AB51" t="s">
        <v>68</v>
      </c>
    </row>
    <row r="52" spans="1:28" x14ac:dyDescent="0.2">
      <c r="A52" s="2">
        <v>52</v>
      </c>
      <c r="B52" s="1"/>
      <c r="C52" s="1"/>
      <c r="D52" s="1"/>
      <c r="E52" s="1" t="str">
        <f>IF(D52&lt;&gt;"",D52,"")</f>
        <v/>
      </c>
      <c r="F52" s="1" t="s">
        <v>19</v>
      </c>
      <c r="G52" s="1" t="str">
        <f>IF(F52&lt;&gt;"",F52,"")</f>
        <v>X</v>
      </c>
      <c r="H52" s="1"/>
      <c r="I52" s="1" t="str">
        <f>IF(H52&lt;&gt;"",H52,"")</f>
        <v/>
      </c>
      <c r="J52" s="1"/>
      <c r="K52" s="1" t="s">
        <v>19</v>
      </c>
      <c r="L52" s="1"/>
      <c r="M52" s="1" t="s">
        <v>19</v>
      </c>
      <c r="N52" s="1" t="s">
        <v>19</v>
      </c>
      <c r="O52" s="1"/>
      <c r="P52" s="1" t="s">
        <v>19</v>
      </c>
      <c r="Q52" s="1"/>
      <c r="R52" s="1" t="str">
        <f>IF(S52&lt;&gt;"",S52,IF(S53&lt;&gt;"",S53,""))</f>
        <v/>
      </c>
      <c r="S52" s="1"/>
      <c r="T52" s="1"/>
      <c r="U52" s="1" t="str">
        <f>IF(V52&lt;&gt;"",V52,IF(V53&lt;&gt;"",V53,""))</f>
        <v>X</v>
      </c>
      <c r="V52" s="1" t="s">
        <v>19</v>
      </c>
      <c r="W52" s="1"/>
      <c r="X52" s="1">
        <v>16</v>
      </c>
      <c r="Y52" s="1">
        <v>3.9710000000000001</v>
      </c>
      <c r="Z52" s="1">
        <v>0</v>
      </c>
      <c r="AA52" s="1">
        <v>6.1740000000000003E-2</v>
      </c>
      <c r="AB52" t="s">
        <v>69</v>
      </c>
    </row>
    <row r="53" spans="1:28" x14ac:dyDescent="0.2">
      <c r="A53" s="2">
        <v>53</v>
      </c>
      <c r="B53" s="1"/>
      <c r="C53" s="1"/>
      <c r="D53" s="1"/>
      <c r="E53" s="1" t="str">
        <f>IF(D53&lt;&gt;"",D53,"")</f>
        <v/>
      </c>
      <c r="F53" s="1" t="s">
        <v>19</v>
      </c>
      <c r="G53" s="1" t="str">
        <f>IF(F53&lt;&gt;"",F53,"")</f>
        <v>X</v>
      </c>
      <c r="H53" s="1"/>
      <c r="I53" s="1" t="str">
        <f>IF(H53&lt;&gt;"",H53,"")</f>
        <v/>
      </c>
      <c r="J53" s="1"/>
      <c r="K53" s="1" t="s">
        <v>19</v>
      </c>
      <c r="L53" s="1"/>
      <c r="M53" s="1" t="s">
        <v>19</v>
      </c>
      <c r="N53" s="1" t="s">
        <v>19</v>
      </c>
      <c r="O53" s="1"/>
      <c r="P53" s="1" t="s">
        <v>19</v>
      </c>
      <c r="Q53" s="1"/>
      <c r="R53" s="1" t="str">
        <f>IF(S53&lt;&gt;"",S53,IF(S54&lt;&gt;"",S54,""))</f>
        <v>X</v>
      </c>
      <c r="S53" s="1"/>
      <c r="T53" s="1"/>
      <c r="U53" s="1" t="str">
        <f>IF(V53&lt;&gt;"",V53,IF(V54&lt;&gt;"",V54,""))</f>
        <v/>
      </c>
      <c r="V53" s="1"/>
      <c r="W53" s="1" t="s">
        <v>19</v>
      </c>
      <c r="X53" s="1">
        <v>20</v>
      </c>
      <c r="Y53" s="1">
        <v>3.6640000000000001</v>
      </c>
      <c r="Z53" s="1">
        <v>0</v>
      </c>
      <c r="AA53" s="1">
        <v>6.1740000000000003E-2</v>
      </c>
      <c r="AB53" t="s">
        <v>70</v>
      </c>
    </row>
    <row r="54" spans="1:28" x14ac:dyDescent="0.2">
      <c r="A54" s="2">
        <v>54</v>
      </c>
      <c r="B54" s="1"/>
      <c r="C54" s="1"/>
      <c r="D54" s="1"/>
      <c r="E54" s="1" t="str">
        <f>IF(D54&lt;&gt;"",D54,"")</f>
        <v/>
      </c>
      <c r="F54" s="1"/>
      <c r="G54" s="1" t="s">
        <v>19</v>
      </c>
      <c r="H54" s="1"/>
      <c r="I54" s="1" t="str">
        <f>IF(H54&lt;&gt;"",H54,"")</f>
        <v/>
      </c>
      <c r="J54" s="1"/>
      <c r="K54" s="1" t="s">
        <v>19</v>
      </c>
      <c r="L54" s="1"/>
      <c r="M54" s="1" t="s">
        <v>19</v>
      </c>
      <c r="N54" s="1" t="s">
        <v>19</v>
      </c>
      <c r="O54" s="1"/>
      <c r="P54" s="1"/>
      <c r="Q54" s="1" t="s">
        <v>19</v>
      </c>
      <c r="R54" s="1" t="str">
        <f>IF(S54&lt;&gt;"",S54,IF(S55&lt;&gt;"",S55,""))</f>
        <v>X</v>
      </c>
      <c r="S54" s="1" t="s">
        <v>19</v>
      </c>
      <c r="T54" s="1"/>
      <c r="U54" s="1" t="str">
        <f>IF(V54&lt;&gt;"",V54,IF(V55&lt;&gt;"",V55,""))</f>
        <v/>
      </c>
      <c r="V54" s="1"/>
      <c r="W54" s="1"/>
      <c r="X54" s="1">
        <v>16</v>
      </c>
      <c r="Y54" s="1">
        <v>5.6840000000000002</v>
      </c>
      <c r="Z54" s="1">
        <v>0.998</v>
      </c>
      <c r="AA54" s="1">
        <v>7.3169999999999999E-2</v>
      </c>
      <c r="AB54" t="s">
        <v>71</v>
      </c>
    </row>
    <row r="55" spans="1:28" x14ac:dyDescent="0.2">
      <c r="A55" s="2">
        <v>55</v>
      </c>
      <c r="B55" s="1"/>
      <c r="C55" s="1"/>
      <c r="D55" s="1"/>
      <c r="E55" s="1" t="str">
        <f>IF(D55&lt;&gt;"",D55,"")</f>
        <v/>
      </c>
      <c r="F55" s="1"/>
      <c r="G55" s="1" t="s">
        <v>19</v>
      </c>
      <c r="H55" s="1"/>
      <c r="I55" s="1" t="str">
        <f>IF(H55&lt;&gt;"",H55,"")</f>
        <v/>
      </c>
      <c r="J55" s="1"/>
      <c r="K55" s="1" t="s">
        <v>19</v>
      </c>
      <c r="L55" s="1"/>
      <c r="M55" s="1" t="s">
        <v>19</v>
      </c>
      <c r="N55" s="1" t="s">
        <v>19</v>
      </c>
      <c r="O55" s="1"/>
      <c r="P55" s="1"/>
      <c r="Q55" s="1" t="s">
        <v>19</v>
      </c>
      <c r="R55" s="1" t="str">
        <f>IF(S55&lt;&gt;"",S55,IF(S56&lt;&gt;"",S56,""))</f>
        <v/>
      </c>
      <c r="S55" s="1"/>
      <c r="T55" s="1" t="s">
        <v>19</v>
      </c>
      <c r="U55" s="1" t="str">
        <f>IF(V55&lt;&gt;"",V55,IF(V56&lt;&gt;"",V56,""))</f>
        <v>X</v>
      </c>
      <c r="V55" s="1"/>
      <c r="W55" s="1"/>
      <c r="X55" s="1">
        <v>20</v>
      </c>
      <c r="Y55" s="1">
        <v>5.8540000000000001</v>
      </c>
      <c r="Z55" s="1">
        <v>1.0549999999999999</v>
      </c>
      <c r="AA55" s="1">
        <v>7.3169999999999999E-2</v>
      </c>
      <c r="AB55" t="s">
        <v>72</v>
      </c>
    </row>
    <row r="56" spans="1:28" x14ac:dyDescent="0.2">
      <c r="A56" s="2">
        <v>56</v>
      </c>
      <c r="B56" s="1"/>
      <c r="C56" s="1"/>
      <c r="D56" s="1"/>
      <c r="E56" s="1" t="str">
        <f>IF(D56&lt;&gt;"",D56,"")</f>
        <v/>
      </c>
      <c r="F56" s="1"/>
      <c r="G56" s="1" t="s">
        <v>19</v>
      </c>
      <c r="H56" s="1"/>
      <c r="I56" s="1" t="str">
        <f>IF(H56&lt;&gt;"",H56,"")</f>
        <v/>
      </c>
      <c r="J56" s="1"/>
      <c r="K56" s="1" t="s">
        <v>19</v>
      </c>
      <c r="L56" s="1"/>
      <c r="M56" s="1" t="s">
        <v>19</v>
      </c>
      <c r="N56" s="1" t="s">
        <v>19</v>
      </c>
      <c r="O56" s="1"/>
      <c r="P56" s="1"/>
      <c r="Q56" s="1" t="s">
        <v>19</v>
      </c>
      <c r="R56" s="1" t="str">
        <f>IF(S56&lt;&gt;"",S56,IF(S57&lt;&gt;"",S57,""))</f>
        <v/>
      </c>
      <c r="S56" s="1"/>
      <c r="T56" s="1"/>
      <c r="U56" s="1" t="str">
        <f>IF(V56&lt;&gt;"",V56,IF(V57&lt;&gt;"",V57,""))</f>
        <v>X</v>
      </c>
      <c r="V56" s="1" t="s">
        <v>19</v>
      </c>
      <c r="W56" s="1"/>
      <c r="X56" s="1">
        <v>15</v>
      </c>
      <c r="Y56" s="1">
        <v>6.9710000000000001</v>
      </c>
      <c r="Z56" s="1">
        <v>0.54600000000000004</v>
      </c>
      <c r="AA56" s="1">
        <v>7.3169999999999999E-2</v>
      </c>
      <c r="AB56" t="s">
        <v>73</v>
      </c>
    </row>
    <row r="57" spans="1:28" x14ac:dyDescent="0.2">
      <c r="A57" s="2">
        <v>57</v>
      </c>
      <c r="B57" s="1"/>
      <c r="C57" s="1"/>
      <c r="D57" s="1"/>
      <c r="E57" s="1" t="str">
        <f>IF(D57&lt;&gt;"",D57,"")</f>
        <v/>
      </c>
      <c r="F57" s="1"/>
      <c r="G57" s="1" t="s">
        <v>19</v>
      </c>
      <c r="H57" s="1"/>
      <c r="I57" s="1" t="str">
        <f>IF(H57&lt;&gt;"",H57,"")</f>
        <v/>
      </c>
      <c r="J57" s="1"/>
      <c r="K57" s="1" t="s">
        <v>19</v>
      </c>
      <c r="L57" s="1"/>
      <c r="M57" s="1" t="s">
        <v>19</v>
      </c>
      <c r="N57" s="1" t="s">
        <v>19</v>
      </c>
      <c r="O57" s="1"/>
      <c r="P57" s="1"/>
      <c r="Q57" s="1" t="s">
        <v>19</v>
      </c>
      <c r="R57" s="1" t="str">
        <f>IF(S57&lt;&gt;"",S57,IF(S58&lt;&gt;"",S58,""))</f>
        <v>X</v>
      </c>
      <c r="S57" s="1"/>
      <c r="T57" s="1"/>
      <c r="U57" s="1" t="str">
        <f>IF(V57&lt;&gt;"",V57,IF(V58&lt;&gt;"",V58,""))</f>
        <v/>
      </c>
      <c r="V57" s="1"/>
      <c r="W57" s="1" t="s">
        <v>19</v>
      </c>
      <c r="X57" s="1">
        <v>19</v>
      </c>
      <c r="Y57" s="1">
        <v>7.1429999999999998</v>
      </c>
      <c r="Z57" s="1">
        <v>0.60199999999999998</v>
      </c>
      <c r="AA57" s="1">
        <v>7.3169999999999999E-2</v>
      </c>
      <c r="AB57" t="s">
        <v>74</v>
      </c>
    </row>
    <row r="58" spans="1:28" x14ac:dyDescent="0.2">
      <c r="A58" s="2">
        <v>58</v>
      </c>
      <c r="B58" s="1"/>
      <c r="C58" s="1"/>
      <c r="D58" s="1"/>
      <c r="E58" s="1" t="str">
        <f>IF(D58&lt;&gt;"",D58,"")</f>
        <v/>
      </c>
      <c r="F58" s="1" t="s">
        <v>19</v>
      </c>
      <c r="G58" s="1" t="str">
        <f>IF(F58&lt;&gt;"",F58,"")</f>
        <v>X</v>
      </c>
      <c r="H58" s="1"/>
      <c r="I58" s="1" t="str">
        <f>IF(H58&lt;&gt;"",H58,"")</f>
        <v/>
      </c>
      <c r="J58" s="1"/>
      <c r="K58" s="1" t="s">
        <v>19</v>
      </c>
      <c r="L58" s="1"/>
      <c r="M58" s="1" t="s">
        <v>19</v>
      </c>
      <c r="N58" s="1"/>
      <c r="O58" s="1" t="s">
        <v>19</v>
      </c>
      <c r="P58" s="1" t="s">
        <v>19</v>
      </c>
      <c r="Q58" s="1"/>
      <c r="R58" s="1" t="str">
        <f>IF(S58&lt;&gt;"",S58,IF(S59&lt;&gt;"",S59,""))</f>
        <v>X</v>
      </c>
      <c r="S58" s="1" t="s">
        <v>19</v>
      </c>
      <c r="T58" s="1"/>
      <c r="U58" s="1" t="str">
        <f>IF(V58&lt;&gt;"",V58,IF(V59&lt;&gt;"",V59,""))</f>
        <v/>
      </c>
      <c r="V58" s="1"/>
      <c r="W58" s="1"/>
      <c r="X58" s="1">
        <v>16</v>
      </c>
      <c r="Y58" s="1">
        <v>13.06</v>
      </c>
      <c r="Z58" s="1">
        <v>0.28100000000000003</v>
      </c>
      <c r="AA58" s="1">
        <v>0.12540000000000001</v>
      </c>
      <c r="AB58" t="s">
        <v>75</v>
      </c>
    </row>
    <row r="59" spans="1:28" x14ac:dyDescent="0.2">
      <c r="A59" s="2">
        <v>59</v>
      </c>
      <c r="B59" s="1"/>
      <c r="C59" s="1"/>
      <c r="D59" s="1"/>
      <c r="E59" s="1" t="str">
        <f>IF(D59&lt;&gt;"",D59,"")</f>
        <v/>
      </c>
      <c r="F59" s="1" t="s">
        <v>19</v>
      </c>
      <c r="G59" s="1" t="str">
        <f>IF(F59&lt;&gt;"",F59,"")</f>
        <v>X</v>
      </c>
      <c r="H59" s="1"/>
      <c r="I59" s="1" t="str">
        <f>IF(H59&lt;&gt;"",H59,"")</f>
        <v/>
      </c>
      <c r="J59" s="1"/>
      <c r="K59" s="1" t="s">
        <v>19</v>
      </c>
      <c r="L59" s="1"/>
      <c r="M59" s="1" t="s">
        <v>19</v>
      </c>
      <c r="N59" s="1"/>
      <c r="O59" s="1" t="s">
        <v>19</v>
      </c>
      <c r="P59" s="1" t="s">
        <v>19</v>
      </c>
      <c r="Q59" s="1"/>
      <c r="R59" s="1" t="str">
        <f>IF(S59&lt;&gt;"",S59,IF(S60&lt;&gt;"",S60,""))</f>
        <v/>
      </c>
      <c r="S59" s="1"/>
      <c r="T59" s="1" t="s">
        <v>19</v>
      </c>
      <c r="U59" s="1" t="str">
        <f>IF(V59&lt;&gt;"",V59,IF(V60&lt;&gt;"",V60,""))</f>
        <v>X</v>
      </c>
      <c r="V59" s="1"/>
      <c r="W59" s="1"/>
      <c r="X59" s="1">
        <v>20</v>
      </c>
      <c r="Y59" s="1">
        <v>13.96</v>
      </c>
      <c r="Z59" s="1">
        <v>0.35099999999999998</v>
      </c>
      <c r="AA59" s="1">
        <v>0.12540000000000001</v>
      </c>
      <c r="AB59" t="s">
        <v>76</v>
      </c>
    </row>
    <row r="60" spans="1:28" x14ac:dyDescent="0.2">
      <c r="A60" s="2">
        <v>60</v>
      </c>
      <c r="B60" s="1"/>
      <c r="C60" s="1"/>
      <c r="D60" s="1"/>
      <c r="E60" s="1" t="str">
        <f>IF(D60&lt;&gt;"",D60,"")</f>
        <v/>
      </c>
      <c r="F60" s="1" t="s">
        <v>19</v>
      </c>
      <c r="G60" s="1" t="str">
        <f>IF(F60&lt;&gt;"",F60,"")</f>
        <v>X</v>
      </c>
      <c r="H60" s="1"/>
      <c r="I60" s="1" t="str">
        <f>IF(H60&lt;&gt;"",H60,"")</f>
        <v/>
      </c>
      <c r="J60" s="1"/>
      <c r="K60" s="1" t="s">
        <v>19</v>
      </c>
      <c r="L60" s="1"/>
      <c r="M60" s="1" t="s">
        <v>19</v>
      </c>
      <c r="N60" s="1"/>
      <c r="O60" s="1" t="s">
        <v>19</v>
      </c>
      <c r="P60" s="1" t="s">
        <v>19</v>
      </c>
      <c r="Q60" s="1"/>
      <c r="R60" s="1" t="str">
        <f>IF(S60&lt;&gt;"",S60,IF(S61&lt;&gt;"",S61,""))</f>
        <v/>
      </c>
      <c r="S60" s="1"/>
      <c r="T60" s="1"/>
      <c r="U60" s="1" t="str">
        <f>IF(V60&lt;&gt;"",V60,IF(V61&lt;&gt;"",V61,""))</f>
        <v>X</v>
      </c>
      <c r="V60" s="1" t="s">
        <v>19</v>
      </c>
      <c r="W60" s="1"/>
      <c r="X60" s="1">
        <v>15</v>
      </c>
      <c r="Y60" s="1">
        <v>17.440000000000001</v>
      </c>
      <c r="Z60" s="1">
        <v>0.23899999999999999</v>
      </c>
      <c r="AA60" s="1">
        <v>0.12540000000000001</v>
      </c>
      <c r="AB60" t="s">
        <v>77</v>
      </c>
    </row>
    <row r="61" spans="1:28" x14ac:dyDescent="0.2">
      <c r="A61" s="2">
        <v>61</v>
      </c>
      <c r="B61" s="1"/>
      <c r="C61" s="1"/>
      <c r="D61" s="1"/>
      <c r="E61" s="1" t="str">
        <f>IF(D61&lt;&gt;"",D61,"")</f>
        <v/>
      </c>
      <c r="F61" s="1" t="s">
        <v>19</v>
      </c>
      <c r="G61" s="1" t="str">
        <f>IF(F61&lt;&gt;"",F61,"")</f>
        <v>X</v>
      </c>
      <c r="H61" s="1"/>
      <c r="I61" s="1" t="str">
        <f>IF(H61&lt;&gt;"",H61,"")</f>
        <v/>
      </c>
      <c r="J61" s="1"/>
      <c r="K61" s="1" t="s">
        <v>19</v>
      </c>
      <c r="L61" s="1"/>
      <c r="M61" s="1" t="s">
        <v>19</v>
      </c>
      <c r="N61" s="1"/>
      <c r="O61" s="1" t="s">
        <v>19</v>
      </c>
      <c r="P61" s="1" t="s">
        <v>19</v>
      </c>
      <c r="Q61" s="1"/>
      <c r="R61" s="1" t="str">
        <f>IF(S61&lt;&gt;"",S61,IF(S62&lt;&gt;"",S62,""))</f>
        <v>X</v>
      </c>
      <c r="S61" s="1"/>
      <c r="T61" s="1"/>
      <c r="U61" s="1" t="str">
        <f>IF(V61&lt;&gt;"",V61,IF(V62&lt;&gt;"",V62,""))</f>
        <v/>
      </c>
      <c r="V61" s="1"/>
      <c r="W61" s="1" t="s">
        <v>19</v>
      </c>
      <c r="X61" s="1">
        <v>20</v>
      </c>
      <c r="Y61" s="1">
        <v>17.559999999999999</v>
      </c>
      <c r="Z61" s="1">
        <v>0.26800000000000002</v>
      </c>
      <c r="AA61" s="1">
        <v>0.12540000000000001</v>
      </c>
      <c r="AB61" t="s">
        <v>78</v>
      </c>
    </row>
    <row r="62" spans="1:28" x14ac:dyDescent="0.2">
      <c r="A62" s="2">
        <v>62</v>
      </c>
      <c r="B62" s="1"/>
      <c r="C62" s="1"/>
      <c r="D62" s="1"/>
      <c r="E62" s="1" t="str">
        <f>IF(D62&lt;&gt;"",D62,"")</f>
        <v/>
      </c>
      <c r="F62" s="1" t="s">
        <v>19</v>
      </c>
      <c r="G62" s="1" t="str">
        <f>IF(F62&lt;&gt;"",F62,"")</f>
        <v>X</v>
      </c>
      <c r="H62" s="1"/>
      <c r="I62" s="1" t="str">
        <f>IF(H62&lt;&gt;"",H62,"")</f>
        <v/>
      </c>
      <c r="J62" s="1"/>
      <c r="K62" s="1" t="s">
        <v>19</v>
      </c>
      <c r="L62" s="1"/>
      <c r="M62" s="1" t="s">
        <v>19</v>
      </c>
      <c r="N62" s="1"/>
      <c r="O62" s="1" t="s">
        <v>19</v>
      </c>
      <c r="P62" s="1"/>
      <c r="Q62" s="1" t="s">
        <v>19</v>
      </c>
      <c r="R62" s="1" t="str">
        <f>IF(S62&lt;&gt;"",S62,IF(S63&lt;&gt;"",S63,""))</f>
        <v>X</v>
      </c>
      <c r="S62" s="1" t="s">
        <v>19</v>
      </c>
      <c r="T62" s="1"/>
      <c r="U62" s="1" t="str">
        <f>IF(V62&lt;&gt;"",V62,IF(V63&lt;&gt;"",V63,""))</f>
        <v/>
      </c>
      <c r="V62" s="1"/>
      <c r="W62" s="1"/>
      <c r="X62" s="1">
        <v>16</v>
      </c>
      <c r="Y62" s="1">
        <v>22.46</v>
      </c>
      <c r="Z62" s="1">
        <v>0.89</v>
      </c>
      <c r="AA62" s="1">
        <v>0.15579999999999999</v>
      </c>
      <c r="AB62" t="s">
        <v>79</v>
      </c>
    </row>
    <row r="63" spans="1:28" x14ac:dyDescent="0.2">
      <c r="A63" s="2">
        <v>63</v>
      </c>
      <c r="B63" s="1"/>
      <c r="C63" s="1"/>
      <c r="D63" s="1"/>
      <c r="E63" s="1" t="str">
        <f>IF(D63&lt;&gt;"",D63,"")</f>
        <v/>
      </c>
      <c r="F63" s="1" t="s">
        <v>19</v>
      </c>
      <c r="G63" s="1" t="str">
        <f>IF(F63&lt;&gt;"",F63,"")</f>
        <v>X</v>
      </c>
      <c r="H63" s="1"/>
      <c r="I63" s="1" t="str">
        <f>IF(H63&lt;&gt;"",H63,"")</f>
        <v/>
      </c>
      <c r="J63" s="1"/>
      <c r="K63" s="1" t="s">
        <v>19</v>
      </c>
      <c r="L63" s="1"/>
      <c r="M63" s="1" t="s">
        <v>19</v>
      </c>
      <c r="N63" s="1"/>
      <c r="O63" s="1" t="s">
        <v>19</v>
      </c>
      <c r="P63" s="1"/>
      <c r="Q63" s="1" t="s">
        <v>19</v>
      </c>
      <c r="R63" s="1" t="str">
        <f>IF(S63&lt;&gt;"",S63,IF(S64&lt;&gt;"",S64,""))</f>
        <v/>
      </c>
      <c r="S63" s="1"/>
      <c r="T63" s="1" t="s">
        <v>19</v>
      </c>
      <c r="U63" s="1" t="str">
        <f>IF(V63&lt;&gt;"",V63,IF(V64&lt;&gt;"",V64,""))</f>
        <v>X</v>
      </c>
      <c r="V63" s="1"/>
      <c r="W63" s="1"/>
      <c r="X63" s="1">
        <v>20</v>
      </c>
      <c r="Y63" s="1">
        <v>23.66</v>
      </c>
      <c r="Z63" s="1">
        <v>0.89100000000000001</v>
      </c>
      <c r="AA63" s="1">
        <v>0.15579999999999999</v>
      </c>
      <c r="AB63" t="s">
        <v>80</v>
      </c>
    </row>
    <row r="64" spans="1:28" x14ac:dyDescent="0.2">
      <c r="A64" s="2">
        <v>64</v>
      </c>
      <c r="B64" s="1"/>
      <c r="C64" s="1"/>
      <c r="D64" s="1"/>
      <c r="E64" s="1" t="str">
        <f>IF(D64&lt;&gt;"",D64,"")</f>
        <v/>
      </c>
      <c r="F64" s="1" t="s">
        <v>19</v>
      </c>
      <c r="G64" s="1" t="str">
        <f>IF(F64&lt;&gt;"",F64,"")</f>
        <v>X</v>
      </c>
      <c r="H64" s="1"/>
      <c r="I64" s="1" t="str">
        <f>IF(H64&lt;&gt;"",H64,"")</f>
        <v/>
      </c>
      <c r="J64" s="1"/>
      <c r="K64" s="1" t="s">
        <v>19</v>
      </c>
      <c r="L64" s="1"/>
      <c r="M64" s="1" t="s">
        <v>19</v>
      </c>
      <c r="N64" s="1"/>
      <c r="O64" s="1" t="s">
        <v>19</v>
      </c>
      <c r="P64" s="1"/>
      <c r="Q64" s="1" t="s">
        <v>19</v>
      </c>
      <c r="R64" s="1" t="str">
        <f>IF(S64&lt;&gt;"",S64,IF(S65&lt;&gt;"",S65,""))</f>
        <v/>
      </c>
      <c r="S64" s="1"/>
      <c r="T64" s="1"/>
      <c r="U64" s="1" t="str">
        <f>IF(V64&lt;&gt;"",V64,IF(V65&lt;&gt;"",V65,""))</f>
        <v>X</v>
      </c>
      <c r="V64" s="1" t="s">
        <v>19</v>
      </c>
      <c r="W64" s="1"/>
      <c r="X64" s="1">
        <v>16</v>
      </c>
      <c r="Y64" s="1">
        <v>26.85</v>
      </c>
      <c r="Z64" s="1">
        <v>0.752</v>
      </c>
      <c r="AA64" s="1">
        <v>0.15579999999999999</v>
      </c>
      <c r="AB64" t="s">
        <v>81</v>
      </c>
    </row>
    <row r="65" spans="1:28" x14ac:dyDescent="0.2">
      <c r="A65" s="2">
        <v>65</v>
      </c>
      <c r="B65" s="1"/>
      <c r="C65" s="1"/>
      <c r="D65" s="1"/>
      <c r="E65" s="1" t="str">
        <f>IF(D65&lt;&gt;"",D65,"")</f>
        <v/>
      </c>
      <c r="F65" s="1" t="s">
        <v>19</v>
      </c>
      <c r="G65" s="1" t="str">
        <f>IF(F65&lt;&gt;"",F65,"")</f>
        <v>X</v>
      </c>
      <c r="H65" s="1"/>
      <c r="I65" s="1" t="str">
        <f>IF(H65&lt;&gt;"",H65,"")</f>
        <v/>
      </c>
      <c r="J65" s="1"/>
      <c r="K65" s="1" t="s">
        <v>19</v>
      </c>
      <c r="L65" s="1"/>
      <c r="M65" s="1" t="s">
        <v>19</v>
      </c>
      <c r="N65" s="1"/>
      <c r="O65" s="1" t="s">
        <v>19</v>
      </c>
      <c r="P65" s="1"/>
      <c r="Q65" s="1" t="s">
        <v>19</v>
      </c>
      <c r="R65" s="1" t="str">
        <f>IF(S65&lt;&gt;"",S65,IF(S66&lt;&gt;"",S66,""))</f>
        <v/>
      </c>
      <c r="S65" s="1"/>
      <c r="T65" s="1"/>
      <c r="U65" s="1" t="str">
        <f>IF(V65&lt;&gt;"",V65,IF(V66&lt;&gt;"",V66,""))</f>
        <v/>
      </c>
      <c r="V65" s="1"/>
      <c r="W65" s="1" t="s">
        <v>19</v>
      </c>
      <c r="X65" s="1">
        <v>19</v>
      </c>
      <c r="Y65" s="1">
        <v>30.93</v>
      </c>
      <c r="Z65" s="1">
        <v>0.80600000000000005</v>
      </c>
      <c r="AA65" s="1">
        <v>0.15579999999999999</v>
      </c>
      <c r="AB65" t="s">
        <v>82</v>
      </c>
    </row>
    <row r="66" spans="1:28" x14ac:dyDescent="0.2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</sheetData>
  <sortState xmlns:xlrd2="http://schemas.microsoft.com/office/spreadsheetml/2017/richdata2" ref="A2:AB68">
    <sortCondition descending="1" ref="C2:C68"/>
  </sortState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HERO_permutation_matrix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Levine, Charles R CTR</cp:lastModifiedBy>
  <dcterms:created xsi:type="dcterms:W3CDTF">2026-08-27T21:00:14Z</dcterms:created>
  <dcterms:modified xsi:type="dcterms:W3CDTF">2026-08-27T22:02:27Z</dcterms:modified>
</cp:coreProperties>
</file>