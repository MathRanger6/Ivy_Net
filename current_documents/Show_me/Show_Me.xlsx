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levine/Library/CloudStorage/Dropbox/1-Documents/00- Dissertation/0-Next_Chapter/Code_and_Data/New SQL and PY Code/Cursor Workspace PDE/current_documents/Show_me/"/>
    </mc:Choice>
  </mc:AlternateContent>
  <xr:revisionPtr revIDLastSave="0" documentId="13_ncr:1_{892C37B6-D7E2-8442-BED1-086F86AABCDE}" xr6:coauthVersionLast="47" xr6:coauthVersionMax="47" xr10:uidLastSave="{00000000-0000-0000-0000-000000000000}"/>
  <bookViews>
    <workbookView xWindow="50200" yWindow="2100" windowWidth="26540" windowHeight="37680" xr2:uid="{468D3271-112A-7444-9A5E-3943E052E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7" i="1" l="1"/>
  <c r="H136" i="1"/>
  <c r="J137" i="1" s="1"/>
  <c r="H135" i="1"/>
  <c r="J134" i="1" s="1"/>
  <c r="G135" i="1"/>
  <c r="J135" i="1" s="1"/>
  <c r="G134" i="1"/>
  <c r="G131" i="1"/>
  <c r="H130" i="1"/>
  <c r="J131" i="1" s="1"/>
  <c r="H129" i="1"/>
  <c r="G129" i="1"/>
  <c r="J129" i="1" s="1"/>
  <c r="J128" i="1"/>
  <c r="G128" i="1"/>
  <c r="G125" i="1"/>
  <c r="H124" i="1"/>
  <c r="J125" i="1" s="1"/>
  <c r="H123" i="1"/>
  <c r="G123" i="1"/>
  <c r="J123" i="1" s="1"/>
  <c r="J122" i="1"/>
  <c r="G122" i="1"/>
  <c r="G107" i="1"/>
  <c r="G119" i="1"/>
  <c r="H118" i="1"/>
  <c r="J119" i="1" s="1"/>
  <c r="H117" i="1"/>
  <c r="J116" i="1" s="1"/>
  <c r="G117" i="1"/>
  <c r="J117" i="1" s="1"/>
  <c r="G116" i="1"/>
  <c r="H112" i="1"/>
  <c r="J113" i="1" s="1"/>
  <c r="H111" i="1"/>
  <c r="J110" i="1"/>
  <c r="H106" i="1"/>
  <c r="J107" i="1" s="1"/>
  <c r="J105" i="1"/>
  <c r="H105" i="1"/>
  <c r="J104" i="1" s="1"/>
  <c r="G110" i="1"/>
  <c r="G111" i="1"/>
  <c r="J111" i="1" s="1"/>
  <c r="G113" i="1"/>
  <c r="G105" i="1"/>
  <c r="G104" i="1"/>
  <c r="G101" i="1"/>
  <c r="H100" i="1"/>
  <c r="J101" i="1" s="1"/>
  <c r="H99" i="1"/>
  <c r="J98" i="1" s="1"/>
  <c r="G99" i="1"/>
  <c r="J99" i="1" s="1"/>
  <c r="G98" i="1"/>
  <c r="G95" i="1"/>
  <c r="H94" i="1"/>
  <c r="J95" i="1" s="1"/>
  <c r="H93" i="1"/>
  <c r="J92" i="1" s="1"/>
  <c r="G93" i="1"/>
  <c r="J93" i="1" s="1"/>
  <c r="G92" i="1"/>
  <c r="G89" i="1"/>
  <c r="H88" i="1"/>
  <c r="J89" i="1" s="1"/>
  <c r="H87" i="1"/>
  <c r="G87" i="1"/>
  <c r="J87" i="1" s="1"/>
  <c r="J86" i="1"/>
  <c r="G86" i="1"/>
  <c r="G83" i="1"/>
  <c r="H82" i="1"/>
  <c r="J83" i="1" s="1"/>
  <c r="H81" i="1"/>
  <c r="G81" i="1"/>
  <c r="J81" i="1" s="1"/>
  <c r="J80" i="1"/>
  <c r="G80" i="1"/>
  <c r="G77" i="1"/>
  <c r="H76" i="1"/>
  <c r="J77" i="1" s="1"/>
  <c r="H75" i="1"/>
  <c r="G75" i="1"/>
  <c r="J75" i="1" s="1"/>
  <c r="J74" i="1"/>
  <c r="G74" i="1"/>
  <c r="G71" i="1"/>
  <c r="H70" i="1"/>
  <c r="J71" i="1" s="1"/>
  <c r="H69" i="1"/>
  <c r="G69" i="1"/>
  <c r="J69" i="1" s="1"/>
  <c r="J68" i="1"/>
  <c r="G68" i="1"/>
  <c r="G65" i="1"/>
  <c r="H64" i="1"/>
  <c r="J65" i="1" s="1"/>
  <c r="H63" i="1"/>
  <c r="G63" i="1"/>
  <c r="J63" i="1" s="1"/>
  <c r="J62" i="1"/>
  <c r="G62" i="1"/>
  <c r="G59" i="1"/>
  <c r="H58" i="1"/>
  <c r="J59" i="1" s="1"/>
  <c r="H57" i="1"/>
  <c r="G57" i="1"/>
  <c r="J57" i="1" s="1"/>
  <c r="J56" i="1"/>
  <c r="G56" i="1"/>
  <c r="G53" i="1"/>
  <c r="H52" i="1"/>
  <c r="J53" i="1" s="1"/>
  <c r="H51" i="1"/>
  <c r="J50" i="1" s="1"/>
  <c r="G51" i="1"/>
  <c r="J51" i="1" s="1"/>
  <c r="G50" i="1"/>
  <c r="G47" i="1"/>
  <c r="H46" i="1"/>
  <c r="J47" i="1" s="1"/>
  <c r="H45" i="1"/>
  <c r="J44" i="1" s="1"/>
  <c r="G45" i="1"/>
  <c r="J45" i="1" s="1"/>
  <c r="G44" i="1"/>
  <c r="G41" i="1"/>
  <c r="H40" i="1"/>
  <c r="J41" i="1" s="1"/>
  <c r="H39" i="1"/>
  <c r="J38" i="1" s="1"/>
  <c r="G39" i="1"/>
  <c r="J39" i="1" s="1"/>
  <c r="G38" i="1"/>
  <c r="G35" i="1"/>
  <c r="H34" i="1"/>
  <c r="J35" i="1" s="1"/>
  <c r="H33" i="1"/>
  <c r="J32" i="1" s="1"/>
  <c r="G33" i="1"/>
  <c r="J33" i="1" s="1"/>
  <c r="G32" i="1"/>
  <c r="G29" i="1"/>
  <c r="H28" i="1"/>
  <c r="J29" i="1" s="1"/>
  <c r="H27" i="1"/>
  <c r="G27" i="1"/>
  <c r="J27" i="1" s="1"/>
  <c r="J26" i="1"/>
  <c r="G26" i="1"/>
  <c r="G23" i="1"/>
  <c r="H22" i="1"/>
  <c r="J23" i="1" s="1"/>
  <c r="H21" i="1"/>
  <c r="J20" i="1" s="1"/>
  <c r="G21" i="1"/>
  <c r="J21" i="1" s="1"/>
  <c r="G20" i="1"/>
  <c r="G17" i="1"/>
  <c r="H16" i="1"/>
  <c r="J17" i="1" s="1"/>
  <c r="H15" i="1"/>
  <c r="J14" i="1" s="1"/>
  <c r="G15" i="1"/>
  <c r="J15" i="1" s="1"/>
  <c r="G14" i="1"/>
  <c r="G11" i="1"/>
  <c r="H10" i="1"/>
  <c r="J11" i="1" s="1"/>
  <c r="H9" i="1"/>
  <c r="J8" i="1" s="1"/>
  <c r="G9" i="1"/>
  <c r="J9" i="1" s="1"/>
  <c r="G8" i="1"/>
  <c r="G5" i="1"/>
  <c r="H4" i="1"/>
  <c r="J5" i="1" s="1"/>
  <c r="H3" i="1"/>
  <c r="J2" i="1" s="1"/>
  <c r="G3" i="1"/>
  <c r="J3" i="1" s="1"/>
  <c r="G2" i="1"/>
</calcChain>
</file>

<file path=xl/sharedStrings.xml><?xml version="1.0" encoding="utf-8"?>
<sst xmlns="http://schemas.openxmlformats.org/spreadsheetml/2006/main" count="368" uniqueCount="57">
  <si>
    <t>z_cum_tb_rcvd_ratio_snr</t>
  </si>
  <si>
    <t>z_pool_tb_ratio_mean_snr</t>
  </si>
  <si>
    <t>z_star_pool_interaction</t>
  </si>
  <si>
    <t>dx</t>
  </si>
  <si>
    <t>dy</t>
  </si>
  <si>
    <t>bcum</t>
  </si>
  <si>
    <t>bpool</t>
  </si>
  <si>
    <t>z_tb_ratio_rank_norm_snr</t>
  </si>
  <si>
    <t>z_rank_pool_interaction</t>
  </si>
  <si>
    <t>brank</t>
  </si>
  <si>
    <t>neg</t>
  </si>
  <si>
    <t>1 SD Δ in</t>
  </si>
  <si>
    <t>SD Δ in</t>
  </si>
  <si>
    <t xml:space="preserve">is offset by a </t>
  </si>
  <si>
    <t>Feb 10 Day RUN 1</t>
  </si>
  <si>
    <t>Feb 10 Day RUN 2</t>
  </si>
  <si>
    <t>Feb 10 Day RUN 3</t>
  </si>
  <si>
    <t>z_prestige_mean</t>
  </si>
  <si>
    <t>z_prestige_tb_interaction</t>
  </si>
  <si>
    <t>bprestige</t>
  </si>
  <si>
    <t>Feb 10 Day RUN 4</t>
  </si>
  <si>
    <t>Feb 10 Day RUN 5</t>
  </si>
  <si>
    <t>all ygs _+ sf</t>
  </si>
  <si>
    <t>limited Ygs no SF</t>
  </si>
  <si>
    <t>all ygs no SF</t>
  </si>
  <si>
    <t>Feb 10 Day RUN 6</t>
  </si>
  <si>
    <t>all ygs _+ sf cs and css only</t>
  </si>
  <si>
    <t>Feb 10 Day RUN 7</t>
  </si>
  <si>
    <t>all ygs _+ sf ca only</t>
  </si>
  <si>
    <t>all ygs no SF and No AV</t>
  </si>
  <si>
    <t>Feb 10 Night RUN 8</t>
  </si>
  <si>
    <t>2002-2011, IN, AR FA only</t>
  </si>
  <si>
    <t>Feb 11 Day RUN 9</t>
  </si>
  <si>
    <t>Feb 11 Day RUN 10</t>
  </si>
  <si>
    <t>2002-2011, IN only</t>
  </si>
  <si>
    <t>All YGs CY only</t>
  </si>
  <si>
    <t>Feb 11 Day RUN 11</t>
  </si>
  <si>
    <t>Feb 11 Day RUN 12-1</t>
  </si>
  <si>
    <t>Feb 11 Day RUN 12-2</t>
  </si>
  <si>
    <t>Feb 11 Day RUN 13-1</t>
  </si>
  <si>
    <t>Feb 11 Day RUN 13-2</t>
  </si>
  <si>
    <t>2002-2011, CS + CSS Only</t>
  </si>
  <si>
    <t>Feb 15 Day RUN 14-1</t>
  </si>
  <si>
    <t>Feb 15 Day RUN 14-2</t>
  </si>
  <si>
    <t>RUN 15-1</t>
  </si>
  <si>
    <t>RUN 15-2</t>
  </si>
  <si>
    <t>2002-2011, CA+CS+CSS only</t>
  </si>
  <si>
    <t>z_tb_ratio_bwd_snr</t>
  </si>
  <si>
    <t>z_pool_minus_mean_snr_bwd</t>
  </si>
  <si>
    <t>RUN 15-3</t>
  </si>
  <si>
    <t>z_pool_tb_ratio_rank_pct_snr_bwd</t>
  </si>
  <si>
    <t>bself</t>
  </si>
  <si>
    <t>z_standing_pool_interaction</t>
  </si>
  <si>
    <t>RUN 16-1</t>
  </si>
  <si>
    <t>RUN 16-2</t>
  </si>
  <si>
    <t>RUN 16-3</t>
  </si>
  <si>
    <t>2002-2011, CS+CSS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</si>
</sst>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0000000000000"/>
  </numFmts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4"/>
      <color rgb="FF333333"/>
      <name val="Arial"/>
      <family val="2"/>
    </font>
    <font>
      <sz val="14"/>
      <color rgb="FF333333"/>
      <name val="Arial"/>
      <family val="2"/>
    </font>
    <font>
      <sz val="12"/>
      <color theme="3" tint="0.499984740745262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8" fontId="4" fillId="0" borderId="0" xfId="0" applyNumberFormat="1" applyFont="1"/>
    <xf numFmtId="16" fontId="0" fillId="0" borderId="0" xfId="0" applyNumberFormat="1" applyAlignment="1">
      <alignment vertical="center"/>
    </xf>
    <xf numFmtId="164" fontId="0" fillId="2" borderId="0" xfId="0" applyNumberFormat="1" applyFill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951A-1077-6645-98A4-06EBA4561C6D}">
  <dimension ref="A1:J137"/>
  <sheetViews>
    <sheetView tabSelected="1" topLeftCell="A84" zoomScale="172" workbookViewId="0">
      <selection activeCell="B120" sqref="B120"/>
    </sheetView>
  </sheetViews>
  <sheetFormatPr baseColWidth="10" defaultRowHeight="16" x14ac:dyDescent="0.2"/>
  <cols>
    <col min="1" max="1" width="29.33203125" bestFit="1" customWidth="1"/>
    <col min="2" max="2" width="24.5" style="1" customWidth="1"/>
    <col min="3" max="3" width="3.83203125" style="2" customWidth="1"/>
    <col min="4" max="4" width="7.6640625" style="2" customWidth="1"/>
    <col min="5" max="5" width="1.83203125" style="2" customWidth="1"/>
    <col min="6" max="7" width="10.83203125" style="4"/>
  </cols>
  <sheetData>
    <row r="1" spans="1:10" x14ac:dyDescent="0.2">
      <c r="A1" s="14" t="s">
        <v>14</v>
      </c>
      <c r="B1" s="1" t="s">
        <v>24</v>
      </c>
      <c r="D1" s="5"/>
      <c r="E1" s="5"/>
      <c r="F1" s="6"/>
      <c r="G1" s="7"/>
      <c r="I1" s="6"/>
      <c r="J1" s="7"/>
    </row>
    <row r="2" spans="1:10" x14ac:dyDescent="0.2">
      <c r="D2" s="5" t="s">
        <v>10</v>
      </c>
      <c r="E2" s="5"/>
      <c r="F2" s="6" t="s">
        <v>11</v>
      </c>
      <c r="G2" s="7" t="str">
        <f>D3</f>
        <v>bpool</v>
      </c>
      <c r="I2" s="6" t="s">
        <v>11</v>
      </c>
      <c r="J2" s="7" t="str">
        <f>H3</f>
        <v>bcum</v>
      </c>
    </row>
    <row r="3" spans="1:10" x14ac:dyDescent="0.2">
      <c r="A3" t="s">
        <v>0</v>
      </c>
      <c r="B3" s="1">
        <v>0.24545424395448201</v>
      </c>
      <c r="C3" s="2" t="s">
        <v>3</v>
      </c>
      <c r="D3" s="3" t="s">
        <v>6</v>
      </c>
      <c r="E3" s="3"/>
      <c r="F3" s="16" t="s">
        <v>13</v>
      </c>
      <c r="G3" s="17">
        <f>(-B4)/(B3)</f>
        <v>-1.4649024463688574</v>
      </c>
      <c r="H3" s="2" t="str">
        <f>D4</f>
        <v>bcum</v>
      </c>
      <c r="I3" s="16" t="s">
        <v>13</v>
      </c>
      <c r="J3" s="17">
        <f>1/G3</f>
        <v>-0.68263931327219829</v>
      </c>
    </row>
    <row r="4" spans="1:10" x14ac:dyDescent="0.2">
      <c r="A4" t="s">
        <v>1</v>
      </c>
      <c r="B4" s="1">
        <v>0.35956652244053899</v>
      </c>
      <c r="C4" s="2" t="s">
        <v>4</v>
      </c>
      <c r="D4" s="2" t="s">
        <v>5</v>
      </c>
      <c r="F4" s="16"/>
      <c r="G4" s="17"/>
      <c r="H4" s="3" t="str">
        <f>D3</f>
        <v>bpool</v>
      </c>
      <c r="I4" s="16"/>
      <c r="J4" s="17"/>
    </row>
    <row r="5" spans="1:10" x14ac:dyDescent="0.2">
      <c r="A5" t="s">
        <v>2</v>
      </c>
      <c r="B5" s="1">
        <v>0.107885397389303</v>
      </c>
      <c r="F5" s="6" t="s">
        <v>12</v>
      </c>
      <c r="G5" s="8" t="str">
        <f>D4</f>
        <v>bcum</v>
      </c>
      <c r="I5" s="6" t="s">
        <v>12</v>
      </c>
      <c r="J5" s="8" t="str">
        <f>H4</f>
        <v>bpool</v>
      </c>
    </row>
    <row r="7" spans="1:10" x14ac:dyDescent="0.2">
      <c r="A7" s="15" t="s">
        <v>15</v>
      </c>
      <c r="B7" s="1" t="s">
        <v>24</v>
      </c>
    </row>
    <row r="8" spans="1:10" x14ac:dyDescent="0.2">
      <c r="D8" s="5" t="s">
        <v>10</v>
      </c>
      <c r="E8" s="5"/>
      <c r="F8" s="6" t="s">
        <v>11</v>
      </c>
      <c r="G8" s="7" t="str">
        <f>D9</f>
        <v>bpool</v>
      </c>
      <c r="I8" s="6" t="s">
        <v>11</v>
      </c>
      <c r="J8" s="7" t="str">
        <f>H9</f>
        <v>brank</v>
      </c>
    </row>
    <row r="9" spans="1:10" x14ac:dyDescent="0.2">
      <c r="A9" t="s">
        <v>7</v>
      </c>
      <c r="B9" s="1">
        <v>0.36201164010289599</v>
      </c>
      <c r="C9" s="2" t="s">
        <v>3</v>
      </c>
      <c r="D9" s="3" t="s">
        <v>6</v>
      </c>
      <c r="E9" s="3"/>
      <c r="F9" s="16" t="s">
        <v>13</v>
      </c>
      <c r="G9" s="17">
        <f>(-B10)/(B9)</f>
        <v>-1.4152488703393584</v>
      </c>
      <c r="H9" s="2" t="str">
        <f>D10</f>
        <v>brank</v>
      </c>
      <c r="I9" s="16" t="s">
        <v>13</v>
      </c>
      <c r="J9" s="17">
        <f>1/G9</f>
        <v>-0.70658950588684299</v>
      </c>
    </row>
    <row r="10" spans="1:10" x14ac:dyDescent="0.2">
      <c r="A10" t="s">
        <v>1</v>
      </c>
      <c r="B10" s="1">
        <v>0.51233656470532196</v>
      </c>
      <c r="C10" s="2" t="s">
        <v>4</v>
      </c>
      <c r="D10" s="2" t="s">
        <v>9</v>
      </c>
      <c r="F10" s="16"/>
      <c r="G10" s="17"/>
      <c r="H10" s="3" t="str">
        <f>D9</f>
        <v>bpool</v>
      </c>
      <c r="I10" s="16"/>
      <c r="J10" s="17"/>
    </row>
    <row r="11" spans="1:10" x14ac:dyDescent="0.2">
      <c r="A11" t="s">
        <v>8</v>
      </c>
      <c r="B11" s="1">
        <v>3.3528915338735901E-3</v>
      </c>
      <c r="F11" s="6" t="s">
        <v>12</v>
      </c>
      <c r="G11" s="8" t="str">
        <f>D10</f>
        <v>brank</v>
      </c>
      <c r="I11" s="6" t="s">
        <v>12</v>
      </c>
      <c r="J11" s="8" t="str">
        <f>H10</f>
        <v>bpool</v>
      </c>
    </row>
    <row r="12" spans="1:10" x14ac:dyDescent="0.2">
      <c r="F12" s="6"/>
      <c r="G12" s="8"/>
      <c r="I12" s="6"/>
      <c r="J12" s="8"/>
    </row>
    <row r="13" spans="1:10" x14ac:dyDescent="0.2">
      <c r="A13" t="s">
        <v>16</v>
      </c>
      <c r="B13" s="1" t="s">
        <v>24</v>
      </c>
    </row>
    <row r="14" spans="1:10" x14ac:dyDescent="0.2">
      <c r="D14" s="5" t="s">
        <v>10</v>
      </c>
      <c r="E14" s="5"/>
      <c r="F14" s="6" t="s">
        <v>11</v>
      </c>
      <c r="G14" s="7" t="str">
        <f>D15</f>
        <v>bcum</v>
      </c>
      <c r="I14" s="6" t="s">
        <v>11</v>
      </c>
      <c r="J14" s="7" t="str">
        <f>H15</f>
        <v>bprestige</v>
      </c>
    </row>
    <row r="15" spans="1:10" x14ac:dyDescent="0.2">
      <c r="A15" t="s">
        <v>17</v>
      </c>
      <c r="B15" s="1">
        <v>8.7172498137363802E-2</v>
      </c>
      <c r="C15" s="2" t="s">
        <v>3</v>
      </c>
      <c r="D15" s="3" t="s">
        <v>5</v>
      </c>
      <c r="E15" s="3"/>
      <c r="F15" s="16" t="s">
        <v>13</v>
      </c>
      <c r="G15" s="17">
        <f>(-B16)/(B15)</f>
        <v>-3.6548451982688688</v>
      </c>
      <c r="H15" s="2" t="str">
        <f>D16</f>
        <v>bprestige</v>
      </c>
      <c r="I15" s="16" t="s">
        <v>13</v>
      </c>
      <c r="J15" s="17">
        <f>1/G15</f>
        <v>-0.27360939950990365</v>
      </c>
    </row>
    <row r="16" spans="1:10" x14ac:dyDescent="0.2">
      <c r="A16" t="s">
        <v>0</v>
      </c>
      <c r="B16" s="1">
        <v>0.31860198623844599</v>
      </c>
      <c r="C16" s="2" t="s">
        <v>4</v>
      </c>
      <c r="D16" s="2" t="s">
        <v>19</v>
      </c>
      <c r="F16" s="16"/>
      <c r="G16" s="17"/>
      <c r="H16" s="3" t="str">
        <f>D15</f>
        <v>bcum</v>
      </c>
      <c r="I16" s="16"/>
      <c r="J16" s="17"/>
    </row>
    <row r="17" spans="1:10" x14ac:dyDescent="0.2">
      <c r="A17" t="s">
        <v>18</v>
      </c>
      <c r="B17" s="1">
        <v>-1.6599487982143699E-2</v>
      </c>
      <c r="F17" s="6" t="s">
        <v>12</v>
      </c>
      <c r="G17" s="8" t="str">
        <f>D16</f>
        <v>bprestige</v>
      </c>
      <c r="I17" s="6" t="s">
        <v>12</v>
      </c>
      <c r="J17" s="8" t="str">
        <f>H16</f>
        <v>bcum</v>
      </c>
    </row>
    <row r="18" spans="1:10" x14ac:dyDescent="0.2">
      <c r="F18" s="6"/>
      <c r="G18" s="8"/>
      <c r="I18" s="6"/>
      <c r="J18" s="8"/>
    </row>
    <row r="19" spans="1:10" x14ac:dyDescent="0.2">
      <c r="A19" t="s">
        <v>20</v>
      </c>
      <c r="B19" s="1" t="s">
        <v>23</v>
      </c>
    </row>
    <row r="20" spans="1:10" x14ac:dyDescent="0.2">
      <c r="D20" s="5" t="s">
        <v>10</v>
      </c>
      <c r="E20" s="5"/>
      <c r="F20" s="6" t="s">
        <v>11</v>
      </c>
      <c r="G20" s="7" t="str">
        <f>D21</f>
        <v>bcum</v>
      </c>
      <c r="I20" s="6" t="s">
        <v>11</v>
      </c>
      <c r="J20" s="7" t="str">
        <f>H21</f>
        <v>bprestige</v>
      </c>
    </row>
    <row r="21" spans="1:10" x14ac:dyDescent="0.2">
      <c r="A21" t="s">
        <v>17</v>
      </c>
      <c r="B21" s="1">
        <v>8.6660193659851295E-2</v>
      </c>
      <c r="C21" s="2" t="s">
        <v>3</v>
      </c>
      <c r="D21" s="3" t="s">
        <v>5</v>
      </c>
      <c r="E21" s="3"/>
      <c r="F21" s="16" t="s">
        <v>13</v>
      </c>
      <c r="G21" s="17">
        <f>(-B22)/(B21)</f>
        <v>-2.3336017513828509</v>
      </c>
      <c r="H21" s="2" t="str">
        <f>D22</f>
        <v>bprestige</v>
      </c>
      <c r="I21" s="16" t="s">
        <v>13</v>
      </c>
      <c r="J21" s="17">
        <f>1/G21</f>
        <v>-0.42852213296781155</v>
      </c>
    </row>
    <row r="22" spans="1:10" x14ac:dyDescent="0.2">
      <c r="A22" t="s">
        <v>0</v>
      </c>
      <c r="B22" s="1">
        <v>0.20223037969980601</v>
      </c>
      <c r="C22" s="2" t="s">
        <v>4</v>
      </c>
      <c r="D22" s="2" t="s">
        <v>19</v>
      </c>
      <c r="F22" s="16"/>
      <c r="G22" s="17"/>
      <c r="H22" s="3" t="str">
        <f>D21</f>
        <v>bcum</v>
      </c>
      <c r="I22" s="16"/>
      <c r="J22" s="17"/>
    </row>
    <row r="23" spans="1:10" x14ac:dyDescent="0.2">
      <c r="A23" t="s">
        <v>18</v>
      </c>
      <c r="B23" s="1">
        <v>-2.9333652747895098E-2</v>
      </c>
      <c r="F23" s="6" t="s">
        <v>12</v>
      </c>
      <c r="G23" s="8" t="str">
        <f>D22</f>
        <v>bprestige</v>
      </c>
      <c r="I23" s="6" t="s">
        <v>12</v>
      </c>
      <c r="J23" s="8" t="str">
        <f>H22</f>
        <v>bcum</v>
      </c>
    </row>
    <row r="24" spans="1:10" x14ac:dyDescent="0.2">
      <c r="F24" s="6"/>
      <c r="G24" s="8"/>
      <c r="I24" s="6"/>
      <c r="J24" s="8"/>
    </row>
    <row r="25" spans="1:10" x14ac:dyDescent="0.2">
      <c r="A25" t="s">
        <v>21</v>
      </c>
      <c r="B25" s="1" t="s">
        <v>22</v>
      </c>
    </row>
    <row r="26" spans="1:10" x14ac:dyDescent="0.2">
      <c r="D26" s="5" t="s">
        <v>10</v>
      </c>
      <c r="E26" s="5"/>
      <c r="F26" s="6" t="s">
        <v>11</v>
      </c>
      <c r="G26" s="7" t="str">
        <f>D27</f>
        <v>bcum</v>
      </c>
      <c r="I26" s="6" t="s">
        <v>11</v>
      </c>
      <c r="J26" s="7" t="str">
        <f>H27</f>
        <v>bprestige</v>
      </c>
    </row>
    <row r="27" spans="1:10" x14ac:dyDescent="0.2">
      <c r="A27" t="s">
        <v>17</v>
      </c>
      <c r="B27" s="1">
        <v>0.131625451081615</v>
      </c>
      <c r="C27" s="2" t="s">
        <v>3</v>
      </c>
      <c r="D27" s="3" t="s">
        <v>5</v>
      </c>
      <c r="E27" s="3"/>
      <c r="F27" s="16" t="s">
        <v>13</v>
      </c>
      <c r="G27" s="17">
        <f>(-B28)/(B27)</f>
        <v>-2.4034631503693338</v>
      </c>
      <c r="H27" s="2" t="str">
        <f>D28</f>
        <v>bprestige</v>
      </c>
      <c r="I27" s="16" t="s">
        <v>13</v>
      </c>
      <c r="J27" s="17">
        <f>1/G27</f>
        <v>-0.4160662916118904</v>
      </c>
    </row>
    <row r="28" spans="1:10" x14ac:dyDescent="0.2">
      <c r="A28" t="s">
        <v>0</v>
      </c>
      <c r="B28" s="1">
        <v>0.316356921325403</v>
      </c>
      <c r="C28" s="2" t="s">
        <v>4</v>
      </c>
      <c r="D28" s="2" t="s">
        <v>19</v>
      </c>
      <c r="F28" s="16"/>
      <c r="G28" s="17"/>
      <c r="H28" s="3" t="str">
        <f>D27</f>
        <v>bcum</v>
      </c>
      <c r="I28" s="16"/>
      <c r="J28" s="17"/>
    </row>
    <row r="29" spans="1:10" x14ac:dyDescent="0.2">
      <c r="A29" t="s">
        <v>18</v>
      </c>
      <c r="B29" s="1">
        <v>-1.2111129030296101E-2</v>
      </c>
      <c r="F29" s="6" t="s">
        <v>12</v>
      </c>
      <c r="G29" s="8" t="str">
        <f>D28</f>
        <v>bprestige</v>
      </c>
      <c r="I29" s="6" t="s">
        <v>12</v>
      </c>
      <c r="J29" s="8" t="str">
        <f>H28</f>
        <v>bcum</v>
      </c>
    </row>
    <row r="30" spans="1:10" x14ac:dyDescent="0.2">
      <c r="F30" s="6"/>
      <c r="G30" s="8"/>
      <c r="I30" s="6"/>
      <c r="J30" s="8"/>
    </row>
    <row r="31" spans="1:10" x14ac:dyDescent="0.2">
      <c r="A31" t="s">
        <v>25</v>
      </c>
      <c r="B31" s="1" t="s">
        <v>26</v>
      </c>
    </row>
    <row r="32" spans="1:10" x14ac:dyDescent="0.2">
      <c r="D32" s="5" t="s">
        <v>10</v>
      </c>
      <c r="E32" s="5"/>
      <c r="F32" s="6" t="s">
        <v>11</v>
      </c>
      <c r="G32" s="7" t="str">
        <f>D33</f>
        <v>bcum</v>
      </c>
      <c r="I32" s="6" t="s">
        <v>11</v>
      </c>
      <c r="J32" s="7" t="str">
        <f>H33</f>
        <v>bprestige</v>
      </c>
    </row>
    <row r="33" spans="1:10" x14ac:dyDescent="0.2">
      <c r="A33" t="s">
        <v>17</v>
      </c>
      <c r="B33" s="1">
        <v>7.3186040990277798E-2</v>
      </c>
      <c r="C33" s="2" t="s">
        <v>3</v>
      </c>
      <c r="D33" s="3" t="s">
        <v>5</v>
      </c>
      <c r="E33" s="3"/>
      <c r="F33" s="16" t="s">
        <v>13</v>
      </c>
      <c r="G33" s="17">
        <f>(-B34)/(B33)</f>
        <v>-4.2586596631297429</v>
      </c>
      <c r="H33" s="2" t="str">
        <f>D34</f>
        <v>bprestige</v>
      </c>
      <c r="I33" s="16" t="s">
        <v>13</v>
      </c>
      <c r="J33" s="17">
        <f>1/G33</f>
        <v>-0.23481566481062432</v>
      </c>
    </row>
    <row r="34" spans="1:10" x14ac:dyDescent="0.2">
      <c r="A34" t="s">
        <v>0</v>
      </c>
      <c r="B34" s="1">
        <v>0.31167444066945599</v>
      </c>
      <c r="C34" s="2" t="s">
        <v>4</v>
      </c>
      <c r="D34" s="2" t="s">
        <v>19</v>
      </c>
      <c r="F34" s="16"/>
      <c r="G34" s="17"/>
      <c r="H34" s="3" t="str">
        <f>D33</f>
        <v>bcum</v>
      </c>
      <c r="I34" s="16"/>
      <c r="J34" s="17"/>
    </row>
    <row r="35" spans="1:10" x14ac:dyDescent="0.2">
      <c r="A35" t="s">
        <v>18</v>
      </c>
      <c r="B35" s="1">
        <v>-2.3550799550875301E-2</v>
      </c>
      <c r="F35" s="6" t="s">
        <v>12</v>
      </c>
      <c r="G35" s="8" t="str">
        <f>D34</f>
        <v>bprestige</v>
      </c>
      <c r="I35" s="6" t="s">
        <v>12</v>
      </c>
      <c r="J35" s="8" t="str">
        <f>H34</f>
        <v>bcum</v>
      </c>
    </row>
    <row r="36" spans="1:10" ht="18" x14ac:dyDescent="0.2">
      <c r="B36" s="9"/>
      <c r="F36" s="12"/>
    </row>
    <row r="37" spans="1:10" x14ac:dyDescent="0.2">
      <c r="A37" t="s">
        <v>27</v>
      </c>
      <c r="B37" s="1" t="s">
        <v>28</v>
      </c>
    </row>
    <row r="38" spans="1:10" x14ac:dyDescent="0.2">
      <c r="D38" s="5" t="s">
        <v>10</v>
      </c>
      <c r="E38" s="5"/>
      <c r="F38" s="6" t="s">
        <v>11</v>
      </c>
      <c r="G38" s="7" t="str">
        <f>D39</f>
        <v>bcum</v>
      </c>
      <c r="I38" s="6" t="s">
        <v>11</v>
      </c>
      <c r="J38" s="7" t="str">
        <f>H39</f>
        <v>bprestige</v>
      </c>
    </row>
    <row r="39" spans="1:10" x14ac:dyDescent="0.2">
      <c r="A39" t="s">
        <v>17</v>
      </c>
      <c r="B39" s="1">
        <v>0.172760228373911</v>
      </c>
      <c r="C39" s="2" t="s">
        <v>3</v>
      </c>
      <c r="D39" s="3" t="s">
        <v>5</v>
      </c>
      <c r="E39" s="3"/>
      <c r="F39" s="16" t="s">
        <v>13</v>
      </c>
      <c r="G39" s="17">
        <f>(-B40)/(B39)</f>
        <v>-1.8763225103631109</v>
      </c>
      <c r="H39" s="2" t="str">
        <f>D40</f>
        <v>bprestige</v>
      </c>
      <c r="I39" s="16" t="s">
        <v>13</v>
      </c>
      <c r="J39" s="17">
        <f>1/G39</f>
        <v>-0.53295741775569139</v>
      </c>
    </row>
    <row r="40" spans="1:10" x14ac:dyDescent="0.2">
      <c r="A40" t="s">
        <v>0</v>
      </c>
      <c r="B40" s="1">
        <v>0.32415390539344102</v>
      </c>
      <c r="C40" s="2" t="s">
        <v>4</v>
      </c>
      <c r="D40" s="2" t="s">
        <v>19</v>
      </c>
      <c r="F40" s="16"/>
      <c r="G40" s="17"/>
      <c r="H40" s="3" t="str">
        <f>D39</f>
        <v>bcum</v>
      </c>
      <c r="I40" s="16"/>
      <c r="J40" s="17"/>
    </row>
    <row r="41" spans="1:10" x14ac:dyDescent="0.2">
      <c r="A41" t="s">
        <v>18</v>
      </c>
      <c r="B41" s="1">
        <v>-1.92497191850243E-2</v>
      </c>
      <c r="F41" s="6" t="s">
        <v>12</v>
      </c>
      <c r="G41" s="8" t="str">
        <f>D40</f>
        <v>bprestige</v>
      </c>
      <c r="I41" s="6" t="s">
        <v>12</v>
      </c>
      <c r="J41" s="8" t="str">
        <f>H40</f>
        <v>bcum</v>
      </c>
    </row>
    <row r="42" spans="1:10" ht="18" x14ac:dyDescent="0.2">
      <c r="B42" s="9"/>
    </row>
    <row r="43" spans="1:10" x14ac:dyDescent="0.2">
      <c r="A43" t="s">
        <v>30</v>
      </c>
      <c r="B43" s="1" t="s">
        <v>29</v>
      </c>
    </row>
    <row r="44" spans="1:10" x14ac:dyDescent="0.2">
      <c r="D44" s="5" t="s">
        <v>10</v>
      </c>
      <c r="E44" s="5"/>
      <c r="F44" s="6" t="s">
        <v>11</v>
      </c>
      <c r="G44" s="7" t="str">
        <f>D45</f>
        <v>bcum</v>
      </c>
      <c r="I44" s="6" t="s">
        <v>11</v>
      </c>
      <c r="J44" s="7" t="str">
        <f>H45</f>
        <v>bprestige</v>
      </c>
    </row>
    <row r="45" spans="1:10" x14ac:dyDescent="0.2">
      <c r="A45" t="s">
        <v>17</v>
      </c>
      <c r="B45" s="1">
        <v>7.8341148363394897E-2</v>
      </c>
      <c r="C45" s="2" t="s">
        <v>3</v>
      </c>
      <c r="D45" s="3" t="s">
        <v>5</v>
      </c>
      <c r="E45" s="3"/>
      <c r="F45" s="16" t="s">
        <v>13</v>
      </c>
      <c r="G45" s="17">
        <f>(-B46)/(B45)</f>
        <v>-4.1287487713746387</v>
      </c>
      <c r="H45" s="2" t="str">
        <f>D46</f>
        <v>bprestige</v>
      </c>
      <c r="I45" s="16" t="s">
        <v>13</v>
      </c>
      <c r="J45" s="17">
        <f>1/G45</f>
        <v>-0.24220412899258503</v>
      </c>
    </row>
    <row r="46" spans="1:10" x14ac:dyDescent="0.2">
      <c r="A46" t="s">
        <v>0</v>
      </c>
      <c r="B46" s="1">
        <v>0.323450920053445</v>
      </c>
      <c r="C46" s="2" t="s">
        <v>4</v>
      </c>
      <c r="D46" s="2" t="s">
        <v>19</v>
      </c>
      <c r="F46" s="16"/>
      <c r="G46" s="17"/>
      <c r="H46" s="3" t="str">
        <f>D45</f>
        <v>bcum</v>
      </c>
      <c r="I46" s="16"/>
      <c r="J46" s="17"/>
    </row>
    <row r="47" spans="1:10" x14ac:dyDescent="0.2">
      <c r="A47" t="s">
        <v>18</v>
      </c>
      <c r="B47" s="1">
        <v>-1.5883264298426798E-2</v>
      </c>
      <c r="F47" s="6" t="s">
        <v>12</v>
      </c>
      <c r="G47" s="8" t="str">
        <f>D46</f>
        <v>bprestige</v>
      </c>
      <c r="I47" s="6" t="s">
        <v>12</v>
      </c>
      <c r="J47" s="8" t="str">
        <f>H46</f>
        <v>bcum</v>
      </c>
    </row>
    <row r="48" spans="1:10" ht="18" x14ac:dyDescent="0.2">
      <c r="B48" s="10"/>
    </row>
    <row r="49" spans="1:10" x14ac:dyDescent="0.2">
      <c r="A49" t="s">
        <v>32</v>
      </c>
      <c r="B49" s="1" t="s">
        <v>31</v>
      </c>
      <c r="D49" s="5"/>
      <c r="E49" s="5"/>
      <c r="F49" s="6"/>
      <c r="G49" s="7"/>
      <c r="I49" s="6"/>
      <c r="J49" s="7"/>
    </row>
    <row r="50" spans="1:10" x14ac:dyDescent="0.2">
      <c r="D50" s="5" t="s">
        <v>10</v>
      </c>
      <c r="E50" s="5"/>
      <c r="F50" s="6" t="s">
        <v>11</v>
      </c>
      <c r="G50" s="7" t="str">
        <f>D51</f>
        <v>bcum</v>
      </c>
      <c r="I50" s="6" t="s">
        <v>11</v>
      </c>
      <c r="J50" s="7" t="str">
        <f>H51</f>
        <v>bprestige</v>
      </c>
    </row>
    <row r="51" spans="1:10" x14ac:dyDescent="0.2">
      <c r="A51" t="s">
        <v>17</v>
      </c>
      <c r="B51" s="1">
        <v>5.88257904984942E-2</v>
      </c>
      <c r="C51" s="2" t="s">
        <v>3</v>
      </c>
      <c r="D51" s="3" t="s">
        <v>5</v>
      </c>
      <c r="E51" s="3"/>
      <c r="F51" s="16" t="s">
        <v>13</v>
      </c>
      <c r="G51" s="17">
        <f>(-B52)/(B51)</f>
        <v>-5.8430346832412807</v>
      </c>
      <c r="H51" s="2" t="str">
        <f>D52</f>
        <v>bprestige</v>
      </c>
      <c r="I51" s="16" t="s">
        <v>13</v>
      </c>
      <c r="J51" s="17">
        <f>1/G51</f>
        <v>-0.17114394389411264</v>
      </c>
    </row>
    <row r="52" spans="1:10" x14ac:dyDescent="0.2">
      <c r="A52" t="s">
        <v>0</v>
      </c>
      <c r="B52" s="1">
        <v>0.34372113415178701</v>
      </c>
      <c r="C52" s="2" t="s">
        <v>4</v>
      </c>
      <c r="D52" s="2" t="s">
        <v>19</v>
      </c>
      <c r="F52" s="16"/>
      <c r="G52" s="17"/>
      <c r="H52" s="3" t="str">
        <f>D51</f>
        <v>bcum</v>
      </c>
      <c r="I52" s="16"/>
      <c r="J52" s="17"/>
    </row>
    <row r="53" spans="1:10" x14ac:dyDescent="0.2">
      <c r="A53" t="s">
        <v>18</v>
      </c>
      <c r="B53" s="1">
        <v>8.1510436340351596E-3</v>
      </c>
      <c r="F53" s="6" t="s">
        <v>12</v>
      </c>
      <c r="G53" s="8" t="str">
        <f>D52</f>
        <v>bprestige</v>
      </c>
      <c r="I53" s="6" t="s">
        <v>12</v>
      </c>
      <c r="J53" s="8" t="str">
        <f>H52</f>
        <v>bcum</v>
      </c>
    </row>
    <row r="55" spans="1:10" x14ac:dyDescent="0.2">
      <c r="A55" t="s">
        <v>33</v>
      </c>
      <c r="B55" s="1" t="s">
        <v>34</v>
      </c>
      <c r="D55" s="5"/>
      <c r="E55" s="5"/>
      <c r="F55" s="6"/>
      <c r="G55" s="7"/>
      <c r="I55" s="6"/>
      <c r="J55" s="7"/>
    </row>
    <row r="56" spans="1:10" x14ac:dyDescent="0.2">
      <c r="D56" s="5" t="s">
        <v>10</v>
      </c>
      <c r="E56" s="5"/>
      <c r="F56" s="6" t="s">
        <v>11</v>
      </c>
      <c r="G56" s="7" t="str">
        <f>D57</f>
        <v>bcum</v>
      </c>
      <c r="I56" s="6" t="s">
        <v>11</v>
      </c>
      <c r="J56" s="7" t="str">
        <f>H57</f>
        <v>bprestige</v>
      </c>
    </row>
    <row r="57" spans="1:10" x14ac:dyDescent="0.2">
      <c r="A57" t="s">
        <v>17</v>
      </c>
      <c r="B57" s="1">
        <v>6.0675E-2</v>
      </c>
      <c r="C57" s="2" t="s">
        <v>3</v>
      </c>
      <c r="D57" s="3" t="s">
        <v>5</v>
      </c>
      <c r="E57" s="3"/>
      <c r="F57" s="16" t="s">
        <v>13</v>
      </c>
      <c r="G57" s="17">
        <f>(-B58)/(B57)</f>
        <v>-6.3606592501030086</v>
      </c>
      <c r="H57" s="2" t="str">
        <f>D58</f>
        <v>bprestige</v>
      </c>
      <c r="I57" s="16" t="s">
        <v>13</v>
      </c>
      <c r="J57" s="17">
        <f>1/G57</f>
        <v>-0.15721640802937295</v>
      </c>
    </row>
    <row r="58" spans="1:10" x14ac:dyDescent="0.2">
      <c r="A58" t="s">
        <v>0</v>
      </c>
      <c r="B58" s="1">
        <v>0.38593300000000003</v>
      </c>
      <c r="C58" s="2" t="s">
        <v>4</v>
      </c>
      <c r="D58" s="2" t="s">
        <v>19</v>
      </c>
      <c r="F58" s="16"/>
      <c r="G58" s="17"/>
      <c r="H58" s="3" t="str">
        <f>D57</f>
        <v>bcum</v>
      </c>
      <c r="I58" s="16"/>
      <c r="J58" s="17"/>
    </row>
    <row r="59" spans="1:10" x14ac:dyDescent="0.2">
      <c r="A59" t="s">
        <v>18</v>
      </c>
      <c r="B59" s="1">
        <v>2.4719999999999999E-2</v>
      </c>
      <c r="F59" s="6" t="s">
        <v>12</v>
      </c>
      <c r="G59" s="8" t="str">
        <f>D58</f>
        <v>bprestige</v>
      </c>
      <c r="I59" s="6" t="s">
        <v>12</v>
      </c>
      <c r="J59" s="8" t="str">
        <f>H58</f>
        <v>bcum</v>
      </c>
    </row>
    <row r="60" spans="1:10" ht="18" x14ac:dyDescent="0.2">
      <c r="B60" s="11"/>
    </row>
    <row r="61" spans="1:10" x14ac:dyDescent="0.2">
      <c r="A61" t="s">
        <v>36</v>
      </c>
      <c r="B61" s="1" t="s">
        <v>35</v>
      </c>
      <c r="D61" s="5"/>
      <c r="E61" s="5"/>
      <c r="F61" s="6"/>
      <c r="G61" s="7"/>
      <c r="I61" s="6"/>
      <c r="J61" s="7"/>
    </row>
    <row r="62" spans="1:10" x14ac:dyDescent="0.2">
      <c r="D62" s="5" t="s">
        <v>10</v>
      </c>
      <c r="E62" s="5"/>
      <c r="F62" s="6" t="s">
        <v>11</v>
      </c>
      <c r="G62" s="7" t="str">
        <f>D63</f>
        <v>bcum</v>
      </c>
      <c r="I62" s="6" t="s">
        <v>11</v>
      </c>
      <c r="J62" s="7" t="str">
        <f>H63</f>
        <v>bprestige</v>
      </c>
    </row>
    <row r="63" spans="1:10" x14ac:dyDescent="0.2">
      <c r="A63" t="s">
        <v>17</v>
      </c>
      <c r="B63" s="13">
        <v>0</v>
      </c>
      <c r="C63" s="2" t="s">
        <v>3</v>
      </c>
      <c r="D63" s="3" t="s">
        <v>5</v>
      </c>
      <c r="E63" s="3"/>
      <c r="F63" s="16" t="s">
        <v>13</v>
      </c>
      <c r="G63" s="17" t="e">
        <f>(-B64)/(B63)</f>
        <v>#DIV/0!</v>
      </c>
      <c r="H63" s="2" t="str">
        <f>D64</f>
        <v>bprestige</v>
      </c>
      <c r="I63" s="16" t="s">
        <v>13</v>
      </c>
      <c r="J63" s="17" t="e">
        <f>1/G63</f>
        <v>#DIV/0!</v>
      </c>
    </row>
    <row r="64" spans="1:10" x14ac:dyDescent="0.2">
      <c r="A64" t="s">
        <v>0</v>
      </c>
      <c r="B64" s="13">
        <v>0</v>
      </c>
      <c r="C64" s="2" t="s">
        <v>4</v>
      </c>
      <c r="D64" s="2" t="s">
        <v>19</v>
      </c>
      <c r="F64" s="16"/>
      <c r="G64" s="17"/>
      <c r="H64" s="3" t="str">
        <f>D63</f>
        <v>bcum</v>
      </c>
      <c r="I64" s="16"/>
      <c r="J64" s="17"/>
    </row>
    <row r="65" spans="1:10" x14ac:dyDescent="0.2">
      <c r="A65" t="s">
        <v>18</v>
      </c>
      <c r="B65" s="13">
        <v>0</v>
      </c>
      <c r="F65" s="6" t="s">
        <v>12</v>
      </c>
      <c r="G65" s="8" t="str">
        <f>D64</f>
        <v>bprestige</v>
      </c>
      <c r="I65" s="6" t="s">
        <v>12</v>
      </c>
      <c r="J65" s="8" t="str">
        <f>H64</f>
        <v>bcum</v>
      </c>
    </row>
    <row r="67" spans="1:10" x14ac:dyDescent="0.2">
      <c r="A67" t="s">
        <v>37</v>
      </c>
      <c r="B67" s="1" t="s">
        <v>34</v>
      </c>
      <c r="D67" s="5"/>
      <c r="E67" s="5"/>
      <c r="F67" s="6"/>
      <c r="G67" s="7"/>
      <c r="I67" s="6"/>
      <c r="J67" s="7"/>
    </row>
    <row r="68" spans="1:10" x14ac:dyDescent="0.2">
      <c r="D68" s="5" t="s">
        <v>10</v>
      </c>
      <c r="E68" s="5"/>
      <c r="F68" s="6" t="s">
        <v>11</v>
      </c>
      <c r="G68" s="7" t="str">
        <f>D69</f>
        <v>bpool</v>
      </c>
      <c r="I68" s="6" t="s">
        <v>11</v>
      </c>
      <c r="J68" s="7" t="str">
        <f>H69</f>
        <v>bcum</v>
      </c>
    </row>
    <row r="69" spans="1:10" x14ac:dyDescent="0.2">
      <c r="A69" t="s">
        <v>0</v>
      </c>
      <c r="B69" s="1">
        <v>0.27375275076185202</v>
      </c>
      <c r="C69" s="2" t="s">
        <v>3</v>
      </c>
      <c r="D69" s="3" t="s">
        <v>6</v>
      </c>
      <c r="E69" s="3"/>
      <c r="F69" s="16" t="s">
        <v>13</v>
      </c>
      <c r="G69" s="17">
        <f>(-B70)/(B69)</f>
        <v>-2.0317014728562475</v>
      </c>
      <c r="H69" s="2" t="str">
        <f>D70</f>
        <v>bcum</v>
      </c>
      <c r="I69" s="16" t="s">
        <v>13</v>
      </c>
      <c r="J69" s="17">
        <f>1/G69</f>
        <v>-0.49219829456251751</v>
      </c>
    </row>
    <row r="70" spans="1:10" x14ac:dyDescent="0.2">
      <c r="A70" t="s">
        <v>1</v>
      </c>
      <c r="B70" s="1">
        <v>0.55618386692130395</v>
      </c>
      <c r="C70" s="2" t="s">
        <v>4</v>
      </c>
      <c r="D70" s="2" t="s">
        <v>5</v>
      </c>
      <c r="F70" s="16"/>
      <c r="G70" s="17"/>
      <c r="H70" s="3" t="str">
        <f>D69</f>
        <v>bpool</v>
      </c>
      <c r="I70" s="16"/>
      <c r="J70" s="17"/>
    </row>
    <row r="71" spans="1:10" x14ac:dyDescent="0.2">
      <c r="A71" t="s">
        <v>2</v>
      </c>
      <c r="B71" s="1">
        <v>0.115543387994713</v>
      </c>
      <c r="F71" s="6" t="s">
        <v>12</v>
      </c>
      <c r="G71" s="8" t="str">
        <f>D70</f>
        <v>bcum</v>
      </c>
      <c r="I71" s="6" t="s">
        <v>12</v>
      </c>
      <c r="J71" s="8" t="str">
        <f>H70</f>
        <v>bpool</v>
      </c>
    </row>
    <row r="73" spans="1:10" x14ac:dyDescent="0.2">
      <c r="A73" t="s">
        <v>38</v>
      </c>
      <c r="B73" s="1" t="s">
        <v>34</v>
      </c>
    </row>
    <row r="74" spans="1:10" x14ac:dyDescent="0.2">
      <c r="D74" s="5" t="s">
        <v>10</v>
      </c>
      <c r="E74" s="5"/>
      <c r="F74" s="6" t="s">
        <v>11</v>
      </c>
      <c r="G74" s="7" t="str">
        <f>D75</f>
        <v>bpool</v>
      </c>
      <c r="I74" s="6" t="s">
        <v>11</v>
      </c>
      <c r="J74" s="7" t="str">
        <f>H75</f>
        <v>brank</v>
      </c>
    </row>
    <row r="75" spans="1:10" x14ac:dyDescent="0.2">
      <c r="A75" t="s">
        <v>7</v>
      </c>
      <c r="B75" s="1">
        <v>0.38995195166847402</v>
      </c>
      <c r="C75" s="2" t="s">
        <v>3</v>
      </c>
      <c r="D75" s="3" t="s">
        <v>6</v>
      </c>
      <c r="E75" s="3"/>
      <c r="F75" s="16" t="s">
        <v>13</v>
      </c>
      <c r="G75" s="17">
        <f>(-B76)/(B75)</f>
        <v>-1.8092347777170388</v>
      </c>
      <c r="H75" s="2" t="str">
        <f>D76</f>
        <v>brank</v>
      </c>
      <c r="I75" s="16" t="s">
        <v>13</v>
      </c>
      <c r="J75" s="17">
        <f>1/G75</f>
        <v>-0.55271986384312044</v>
      </c>
    </row>
    <row r="76" spans="1:10" x14ac:dyDescent="0.2">
      <c r="A76" t="s">
        <v>1</v>
      </c>
      <c r="B76" s="1">
        <v>0.70551463259723701</v>
      </c>
      <c r="C76" s="2" t="s">
        <v>4</v>
      </c>
      <c r="D76" s="2" t="s">
        <v>9</v>
      </c>
      <c r="F76" s="16"/>
      <c r="G76" s="17"/>
      <c r="H76" s="3" t="str">
        <f>D75</f>
        <v>bpool</v>
      </c>
      <c r="I76" s="16"/>
      <c r="J76" s="17"/>
    </row>
    <row r="77" spans="1:10" x14ac:dyDescent="0.2">
      <c r="A77" t="s">
        <v>8</v>
      </c>
      <c r="B77" s="1">
        <v>-1.752057273089E-3</v>
      </c>
      <c r="F77" s="6" t="s">
        <v>12</v>
      </c>
      <c r="G77" s="8" t="str">
        <f>D76</f>
        <v>brank</v>
      </c>
      <c r="I77" s="6" t="s">
        <v>12</v>
      </c>
      <c r="J77" s="8" t="str">
        <f>H76</f>
        <v>bpool</v>
      </c>
    </row>
    <row r="79" spans="1:10" x14ac:dyDescent="0.2">
      <c r="A79" t="s">
        <v>39</v>
      </c>
      <c r="B79" s="1" t="s">
        <v>41</v>
      </c>
      <c r="D79" s="5"/>
      <c r="E79" s="5"/>
      <c r="F79" s="6"/>
      <c r="G79" s="7"/>
      <c r="I79" s="6"/>
      <c r="J79" s="7"/>
    </row>
    <row r="80" spans="1:10" x14ac:dyDescent="0.2">
      <c r="D80" s="5" t="s">
        <v>10</v>
      </c>
      <c r="E80" s="5"/>
      <c r="F80" s="6" t="s">
        <v>11</v>
      </c>
      <c r="G80" s="7" t="str">
        <f>D81</f>
        <v>bpool</v>
      </c>
      <c r="I80" s="6" t="s">
        <v>11</v>
      </c>
      <c r="J80" s="7" t="str">
        <f>H81</f>
        <v>bcum</v>
      </c>
    </row>
    <row r="81" spans="1:10" x14ac:dyDescent="0.2">
      <c r="A81" t="s">
        <v>0</v>
      </c>
      <c r="B81" s="1">
        <v>0.25539804501663099</v>
      </c>
      <c r="C81" s="2" t="s">
        <v>3</v>
      </c>
      <c r="D81" s="3" t="s">
        <v>6</v>
      </c>
      <c r="E81" s="3"/>
      <c r="F81" s="16" t="s">
        <v>13</v>
      </c>
      <c r="G81" s="17">
        <f>(-B82)/(B81)</f>
        <v>-1.1761861579336008</v>
      </c>
      <c r="H81" s="2" t="str">
        <f>D82</f>
        <v>bcum</v>
      </c>
      <c r="I81" s="16" t="s">
        <v>13</v>
      </c>
      <c r="J81" s="17">
        <f>1/G81</f>
        <v>-0.85020555058806679</v>
      </c>
    </row>
    <row r="82" spans="1:10" x14ac:dyDescent="0.2">
      <c r="A82" t="s">
        <v>1</v>
      </c>
      <c r="B82" s="1">
        <v>0.30039564531186402</v>
      </c>
      <c r="C82" s="2" t="s">
        <v>4</v>
      </c>
      <c r="D82" s="2" t="s">
        <v>5</v>
      </c>
      <c r="F82" s="16"/>
      <c r="G82" s="17"/>
      <c r="H82" s="3" t="str">
        <f>D81</f>
        <v>bpool</v>
      </c>
      <c r="I82" s="16"/>
      <c r="J82" s="17"/>
    </row>
    <row r="83" spans="1:10" x14ac:dyDescent="0.2">
      <c r="A83" t="s">
        <v>2</v>
      </c>
      <c r="B83" s="1">
        <v>8.7850737841167703E-2</v>
      </c>
      <c r="F83" s="6" t="s">
        <v>12</v>
      </c>
      <c r="G83" s="8" t="str">
        <f>D82</f>
        <v>bcum</v>
      </c>
      <c r="I83" s="6" t="s">
        <v>12</v>
      </c>
      <c r="J83" s="8" t="str">
        <f>H82</f>
        <v>bpool</v>
      </c>
    </row>
    <row r="85" spans="1:10" x14ac:dyDescent="0.2">
      <c r="A85" t="s">
        <v>40</v>
      </c>
      <c r="B85" s="1" t="s">
        <v>41</v>
      </c>
    </row>
    <row r="86" spans="1:10" x14ac:dyDescent="0.2">
      <c r="D86" s="5" t="s">
        <v>10</v>
      </c>
      <c r="E86" s="5"/>
      <c r="F86" s="6" t="s">
        <v>11</v>
      </c>
      <c r="G86" s="7" t="str">
        <f>D87</f>
        <v>bpool</v>
      </c>
      <c r="I86" s="6" t="s">
        <v>11</v>
      </c>
      <c r="J86" s="7" t="str">
        <f>H87</f>
        <v>brank</v>
      </c>
    </row>
    <row r="87" spans="1:10" x14ac:dyDescent="0.2">
      <c r="A87" t="s">
        <v>7</v>
      </c>
      <c r="B87" s="1">
        <v>0.368852320989903</v>
      </c>
      <c r="C87" s="2" t="s">
        <v>3</v>
      </c>
      <c r="D87" s="3" t="s">
        <v>6</v>
      </c>
      <c r="E87" s="3"/>
      <c r="F87" s="16" t="s">
        <v>13</v>
      </c>
      <c r="G87" s="17">
        <f>(-B88)/(B87)</f>
        <v>-1.2358357984603334</v>
      </c>
      <c r="H87" s="2" t="str">
        <f>D88</f>
        <v>brank</v>
      </c>
      <c r="I87" s="16" t="s">
        <v>13</v>
      </c>
      <c r="J87" s="17">
        <f>1/G87</f>
        <v>-0.80916898607877397</v>
      </c>
    </row>
    <row r="88" spans="1:10" x14ac:dyDescent="0.2">
      <c r="A88" t="s">
        <v>1</v>
      </c>
      <c r="B88" s="1">
        <v>0.455840902624504</v>
      </c>
      <c r="C88" s="2" t="s">
        <v>4</v>
      </c>
      <c r="D88" s="2" t="s">
        <v>9</v>
      </c>
      <c r="F88" s="16"/>
      <c r="G88" s="17"/>
      <c r="H88" s="3" t="str">
        <f>D87</f>
        <v>bpool</v>
      </c>
      <c r="I88" s="16"/>
      <c r="J88" s="17"/>
    </row>
    <row r="89" spans="1:10" x14ac:dyDescent="0.2">
      <c r="A89" t="s">
        <v>8</v>
      </c>
      <c r="B89" s="1">
        <v>-7.5150819562781399E-3</v>
      </c>
      <c r="F89" s="6" t="s">
        <v>12</v>
      </c>
      <c r="G89" s="8" t="str">
        <f>D88</f>
        <v>brank</v>
      </c>
      <c r="I89" s="6" t="s">
        <v>12</v>
      </c>
      <c r="J89" s="8" t="str">
        <f>H88</f>
        <v>bpool</v>
      </c>
    </row>
    <row r="91" spans="1:10" x14ac:dyDescent="0.2">
      <c r="A91" t="s">
        <v>42</v>
      </c>
      <c r="B91" s="1" t="s">
        <v>31</v>
      </c>
      <c r="D91" s="5"/>
      <c r="E91" s="5"/>
      <c r="F91" s="6"/>
      <c r="G91" s="7"/>
      <c r="I91" s="6"/>
      <c r="J91" s="7"/>
    </row>
    <row r="92" spans="1:10" x14ac:dyDescent="0.2">
      <c r="D92" s="5" t="s">
        <v>10</v>
      </c>
      <c r="E92" s="5"/>
      <c r="F92" s="6" t="s">
        <v>11</v>
      </c>
      <c r="G92" s="7" t="str">
        <f>D93</f>
        <v>bpool</v>
      </c>
      <c r="I92" s="6" t="s">
        <v>11</v>
      </c>
      <c r="J92" s="7" t="str">
        <f>H93</f>
        <v>bcum</v>
      </c>
    </row>
    <row r="93" spans="1:10" x14ac:dyDescent="0.2">
      <c r="A93" t="s">
        <v>0</v>
      </c>
      <c r="B93" s="1">
        <v>0</v>
      </c>
      <c r="C93" s="2" t="s">
        <v>3</v>
      </c>
      <c r="D93" s="3" t="s">
        <v>6</v>
      </c>
      <c r="E93" s="3"/>
      <c r="F93" s="16" t="s">
        <v>13</v>
      </c>
      <c r="G93" s="17" t="e">
        <f>(-B94)/(B93)</f>
        <v>#DIV/0!</v>
      </c>
      <c r="H93" s="2" t="str">
        <f>D94</f>
        <v>bcum</v>
      </c>
      <c r="I93" s="16" t="s">
        <v>13</v>
      </c>
      <c r="J93" s="17" t="e">
        <f>1/G93</f>
        <v>#DIV/0!</v>
      </c>
    </row>
    <row r="94" spans="1:10" x14ac:dyDescent="0.2">
      <c r="A94" t="s">
        <v>1</v>
      </c>
      <c r="B94" s="1">
        <v>0</v>
      </c>
      <c r="C94" s="2" t="s">
        <v>4</v>
      </c>
      <c r="D94" s="2" t="s">
        <v>5</v>
      </c>
      <c r="F94" s="16"/>
      <c r="G94" s="17"/>
      <c r="H94" s="3" t="str">
        <f>D93</f>
        <v>bpool</v>
      </c>
      <c r="I94" s="16"/>
      <c r="J94" s="17"/>
    </row>
    <row r="95" spans="1:10" x14ac:dyDescent="0.2">
      <c r="A95" t="s">
        <v>2</v>
      </c>
      <c r="B95" s="1">
        <v>0</v>
      </c>
      <c r="F95" s="6" t="s">
        <v>12</v>
      </c>
      <c r="G95" s="8" t="str">
        <f>D94</f>
        <v>bcum</v>
      </c>
      <c r="I95" s="6" t="s">
        <v>12</v>
      </c>
      <c r="J95" s="8" t="str">
        <f>H94</f>
        <v>bpool</v>
      </c>
    </row>
    <row r="97" spans="1:10" x14ac:dyDescent="0.2">
      <c r="A97" t="s">
        <v>43</v>
      </c>
      <c r="B97" s="1" t="s">
        <v>31</v>
      </c>
    </row>
    <row r="98" spans="1:10" x14ac:dyDescent="0.2">
      <c r="D98" s="5" t="s">
        <v>10</v>
      </c>
      <c r="E98" s="5"/>
      <c r="F98" s="6" t="s">
        <v>11</v>
      </c>
      <c r="G98" s="7" t="str">
        <f>D99</f>
        <v>bpool</v>
      </c>
      <c r="I98" s="6" t="s">
        <v>11</v>
      </c>
      <c r="J98" s="7" t="str">
        <f>H99</f>
        <v>brank</v>
      </c>
    </row>
    <row r="99" spans="1:10" x14ac:dyDescent="0.2">
      <c r="A99" t="s">
        <v>7</v>
      </c>
      <c r="B99" s="1">
        <v>0</v>
      </c>
      <c r="C99" s="2" t="s">
        <v>3</v>
      </c>
      <c r="D99" s="3" t="s">
        <v>6</v>
      </c>
      <c r="E99" s="3"/>
      <c r="F99" s="16" t="s">
        <v>13</v>
      </c>
      <c r="G99" s="17" t="e">
        <f>(-B100)/(B99)</f>
        <v>#DIV/0!</v>
      </c>
      <c r="H99" s="2" t="str">
        <f>D100</f>
        <v>brank</v>
      </c>
      <c r="I99" s="16" t="s">
        <v>13</v>
      </c>
      <c r="J99" s="17" t="e">
        <f>1/G99</f>
        <v>#DIV/0!</v>
      </c>
    </row>
    <row r="100" spans="1:10" x14ac:dyDescent="0.2">
      <c r="A100" t="s">
        <v>1</v>
      </c>
      <c r="B100" s="1">
        <v>0</v>
      </c>
      <c r="C100" s="2" t="s">
        <v>4</v>
      </c>
      <c r="D100" s="2" t="s">
        <v>9</v>
      </c>
      <c r="F100" s="16"/>
      <c r="G100" s="17"/>
      <c r="H100" s="3" t="str">
        <f>D99</f>
        <v>bpool</v>
      </c>
      <c r="I100" s="16"/>
      <c r="J100" s="17"/>
    </row>
    <row r="101" spans="1:10" x14ac:dyDescent="0.2">
      <c r="A101" t="s">
        <v>8</v>
      </c>
      <c r="B101" s="1">
        <v>0</v>
      </c>
      <c r="F101" s="6" t="s">
        <v>12</v>
      </c>
      <c r="G101" s="8" t="str">
        <f>D100</f>
        <v>brank</v>
      </c>
      <c r="I101" s="6" t="s">
        <v>12</v>
      </c>
      <c r="J101" s="8" t="str">
        <f>H100</f>
        <v>bpool</v>
      </c>
    </row>
    <row r="103" spans="1:10" x14ac:dyDescent="0.2">
      <c r="A103" t="s">
        <v>44</v>
      </c>
      <c r="B103" s="1" t="s">
        <v>46</v>
      </c>
      <c r="D103" s="5"/>
      <c r="E103" s="5"/>
      <c r="F103" s="6"/>
      <c r="G103" s="7"/>
    </row>
    <row r="104" spans="1:10" x14ac:dyDescent="0.2">
      <c r="D104" s="5" t="s">
        <v>10</v>
      </c>
      <c r="E104" s="5"/>
      <c r="F104" s="6" t="s">
        <v>11</v>
      </c>
      <c r="G104" s="7" t="str">
        <f>D105</f>
        <v>bpool</v>
      </c>
      <c r="I104" s="6" t="s">
        <v>11</v>
      </c>
      <c r="J104" s="7" t="str">
        <f>H105</f>
        <v>bself</v>
      </c>
    </row>
    <row r="105" spans="1:10" x14ac:dyDescent="0.2">
      <c r="A105" t="s">
        <v>47</v>
      </c>
      <c r="B105" s="1">
        <v>1.2039789999999999</v>
      </c>
      <c r="C105" s="2" t="s">
        <v>3</v>
      </c>
      <c r="D105" s="3" t="s">
        <v>6</v>
      </c>
      <c r="E105" s="3"/>
      <c r="F105" s="16" t="s">
        <v>13</v>
      </c>
      <c r="G105" s="17">
        <f>(-B106)/(B105)</f>
        <v>0.72445366572008318</v>
      </c>
      <c r="H105" s="2" t="str">
        <f>D106</f>
        <v>bself</v>
      </c>
      <c r="I105" s="16" t="s">
        <v>13</v>
      </c>
      <c r="J105" s="17">
        <f>1/G105</f>
        <v>1.3803505280162158</v>
      </c>
    </row>
    <row r="106" spans="1:10" x14ac:dyDescent="0.2">
      <c r="A106" t="s">
        <v>48</v>
      </c>
      <c r="B106" s="1">
        <v>-0.87222699999999997</v>
      </c>
      <c r="C106" s="2" t="s">
        <v>4</v>
      </c>
      <c r="D106" s="2" t="s">
        <v>51</v>
      </c>
      <c r="F106" s="16"/>
      <c r="G106" s="17"/>
      <c r="H106" s="3" t="str">
        <f>D105</f>
        <v>bpool</v>
      </c>
      <c r="I106" s="16"/>
      <c r="J106" s="17"/>
    </row>
    <row r="107" spans="1:10" x14ac:dyDescent="0.2">
      <c r="A107" t="s">
        <v>2</v>
      </c>
      <c r="B107" s="1">
        <v>-0.274256</v>
      </c>
      <c r="F107" s="6" t="s">
        <v>12</v>
      </c>
      <c r="G107" s="8" t="str">
        <f>D106</f>
        <v>bself</v>
      </c>
      <c r="I107" s="6" t="s">
        <v>12</v>
      </c>
      <c r="J107" s="8" t="str">
        <f>H106</f>
        <v>bpool</v>
      </c>
    </row>
    <row r="109" spans="1:10" x14ac:dyDescent="0.2">
      <c r="A109" t="s">
        <v>45</v>
      </c>
      <c r="B109" s="1" t="s">
        <v>46</v>
      </c>
    </row>
    <row r="110" spans="1:10" x14ac:dyDescent="0.2">
      <c r="D110" s="5" t="s">
        <v>10</v>
      </c>
      <c r="E110" s="5"/>
      <c r="F110" s="6" t="s">
        <v>11</v>
      </c>
      <c r="G110" s="7" t="str">
        <f>D111</f>
        <v>brank</v>
      </c>
      <c r="I110" s="6" t="s">
        <v>11</v>
      </c>
      <c r="J110" s="7" t="str">
        <f>H111</f>
        <v>bpool</v>
      </c>
    </row>
    <row r="111" spans="1:10" x14ac:dyDescent="0.2">
      <c r="A111" t="s">
        <v>48</v>
      </c>
      <c r="B111" s="1">
        <v>0.102576</v>
      </c>
      <c r="C111" s="2" t="s">
        <v>3</v>
      </c>
      <c r="D111" s="3" t="s">
        <v>9</v>
      </c>
      <c r="E111" s="3"/>
      <c r="F111" s="16" t="s">
        <v>13</v>
      </c>
      <c r="G111" s="17">
        <f>(-B112)/(B111)</f>
        <v>-0.90923802838870693</v>
      </c>
      <c r="H111" s="2" t="str">
        <f>D112</f>
        <v>bpool</v>
      </c>
      <c r="I111" s="16" t="s">
        <v>13</v>
      </c>
      <c r="J111" s="17">
        <f>1/G111</f>
        <v>-1.0998220144532842</v>
      </c>
    </row>
    <row r="112" spans="1:10" x14ac:dyDescent="0.2">
      <c r="A112" t="s">
        <v>50</v>
      </c>
      <c r="B112" s="1">
        <v>9.3266000000000002E-2</v>
      </c>
      <c r="C112" s="2" t="s">
        <v>4</v>
      </c>
      <c r="D112" s="2" t="s">
        <v>6</v>
      </c>
      <c r="F112" s="16"/>
      <c r="G112" s="17"/>
      <c r="H112" s="3" t="str">
        <f>D111</f>
        <v>brank</v>
      </c>
      <c r="I112" s="16"/>
      <c r="J112" s="17"/>
    </row>
    <row r="113" spans="1:10" x14ac:dyDescent="0.2">
      <c r="A113" t="s">
        <v>8</v>
      </c>
      <c r="B113" s="1">
        <v>-0.19855500000000001</v>
      </c>
      <c r="F113" s="6" t="s">
        <v>12</v>
      </c>
      <c r="G113" s="8" t="str">
        <f>D112</f>
        <v>bpool</v>
      </c>
      <c r="I113" s="6" t="s">
        <v>12</v>
      </c>
      <c r="J113" s="8" t="str">
        <f>H112</f>
        <v>brank</v>
      </c>
    </row>
    <row r="115" spans="1:10" x14ac:dyDescent="0.2">
      <c r="A115" t="s">
        <v>49</v>
      </c>
      <c r="B115" s="1" t="s">
        <v>46</v>
      </c>
    </row>
    <row r="116" spans="1:10" x14ac:dyDescent="0.2">
      <c r="D116" s="5" t="s">
        <v>10</v>
      </c>
      <c r="E116" s="5"/>
      <c r="F116" s="6" t="s">
        <v>11</v>
      </c>
      <c r="G116" s="7" t="str">
        <f>D117</f>
        <v>brank</v>
      </c>
      <c r="I116" s="6" t="s">
        <v>11</v>
      </c>
      <c r="J116" s="7" t="str">
        <f>H117</f>
        <v>bself</v>
      </c>
    </row>
    <row r="117" spans="1:10" x14ac:dyDescent="0.2">
      <c r="A117" t="s">
        <v>47</v>
      </c>
      <c r="B117" s="1">
        <v>0.78673999999999999</v>
      </c>
      <c r="C117" s="2" t="s">
        <v>3</v>
      </c>
      <c r="D117" s="3" t="s">
        <v>9</v>
      </c>
      <c r="E117" s="3"/>
      <c r="F117" s="16" t="s">
        <v>13</v>
      </c>
      <c r="G117" s="17">
        <f>(-B118)/(B117)</f>
        <v>0.57745125454406787</v>
      </c>
      <c r="H117" s="2" t="str">
        <f>D118</f>
        <v>bself</v>
      </c>
      <c r="I117" s="16" t="s">
        <v>13</v>
      </c>
      <c r="J117" s="17">
        <f>1/G117</f>
        <v>1.7317479044868636</v>
      </c>
    </row>
    <row r="118" spans="1:10" x14ac:dyDescent="0.2">
      <c r="A118" t="s">
        <v>50</v>
      </c>
      <c r="B118" s="1">
        <v>-0.45430399999999999</v>
      </c>
      <c r="C118" s="2" t="s">
        <v>4</v>
      </c>
      <c r="D118" s="2" t="s">
        <v>51</v>
      </c>
      <c r="F118" s="16"/>
      <c r="G118" s="17"/>
      <c r="H118" s="3" t="str">
        <f>D117</f>
        <v>brank</v>
      </c>
      <c r="I118" s="16"/>
      <c r="J118" s="17"/>
    </row>
    <row r="119" spans="1:10" x14ac:dyDescent="0.2">
      <c r="A119" t="s">
        <v>52</v>
      </c>
      <c r="B119" s="1">
        <v>-0.21438299999999999</v>
      </c>
      <c r="F119" s="6" t="s">
        <v>12</v>
      </c>
      <c r="G119" s="8" t="str">
        <f>D118</f>
        <v>bself</v>
      </c>
      <c r="I119" s="6" t="s">
        <v>12</v>
      </c>
      <c r="J119" s="8" t="str">
        <f>H118</f>
        <v>brank</v>
      </c>
    </row>
    <row r="121" spans="1:10" x14ac:dyDescent="0.2">
      <c r="A121" t="s">
        <v>53</v>
      </c>
      <c r="B121" s="1" t="s">
        <v>56</v>
      </c>
      <c r="D121" s="5"/>
      <c r="E121" s="5"/>
      <c r="F121" s="6"/>
      <c r="G121" s="7"/>
    </row>
    <row r="122" spans="1:10" x14ac:dyDescent="0.2">
      <c r="D122" s="5" t="s">
        <v>10</v>
      </c>
      <c r="E122" s="5"/>
      <c r="F122" s="6" t="s">
        <v>11</v>
      </c>
      <c r="G122" s="7" t="str">
        <f>D123</f>
        <v>bpool</v>
      </c>
      <c r="I122" s="6" t="s">
        <v>11</v>
      </c>
      <c r="J122" s="7" t="str">
        <f>H123</f>
        <v>bself</v>
      </c>
    </row>
    <row r="123" spans="1:10" x14ac:dyDescent="0.2">
      <c r="A123" t="s">
        <v>47</v>
      </c>
      <c r="B123" s="1">
        <v>0</v>
      </c>
      <c r="C123" s="2" t="s">
        <v>3</v>
      </c>
      <c r="D123" s="3" t="s">
        <v>6</v>
      </c>
      <c r="E123" s="3"/>
      <c r="F123" s="16" t="s">
        <v>13</v>
      </c>
      <c r="G123" s="17" t="e">
        <f>(-B124)/(B123)</f>
        <v>#DIV/0!</v>
      </c>
      <c r="H123" s="2" t="str">
        <f>D124</f>
        <v>bself</v>
      </c>
      <c r="I123" s="16" t="s">
        <v>13</v>
      </c>
      <c r="J123" s="17" t="e">
        <f>1/G123</f>
        <v>#DIV/0!</v>
      </c>
    </row>
    <row r="124" spans="1:10" x14ac:dyDescent="0.2">
      <c r="A124" t="s">
        <v>48</v>
      </c>
      <c r="B124" s="1">
        <v>0</v>
      </c>
      <c r="C124" s="2" t="s">
        <v>4</v>
      </c>
      <c r="D124" s="2" t="s">
        <v>51</v>
      </c>
      <c r="F124" s="16"/>
      <c r="G124" s="17"/>
      <c r="H124" s="3" t="str">
        <f>D123</f>
        <v>bpool</v>
      </c>
      <c r="I124" s="16"/>
      <c r="J124" s="17"/>
    </row>
    <row r="125" spans="1:10" x14ac:dyDescent="0.2">
      <c r="A125" t="s">
        <v>2</v>
      </c>
      <c r="B125" s="1">
        <v>0</v>
      </c>
      <c r="F125" s="6" t="s">
        <v>12</v>
      </c>
      <c r="G125" s="8" t="str">
        <f>D124</f>
        <v>bself</v>
      </c>
      <c r="I125" s="6" t="s">
        <v>12</v>
      </c>
      <c r="J125" s="8" t="str">
        <f>H124</f>
        <v>bpool</v>
      </c>
    </row>
    <row r="127" spans="1:10" x14ac:dyDescent="0.2">
      <c r="A127" t="s">
        <v>54</v>
      </c>
      <c r="B127" s="1" t="s">
        <v>56</v>
      </c>
    </row>
    <row r="128" spans="1:10" x14ac:dyDescent="0.2">
      <c r="D128" s="5" t="s">
        <v>10</v>
      </c>
      <c r="E128" s="5"/>
      <c r="F128" s="6" t="s">
        <v>11</v>
      </c>
      <c r="G128" s="7" t="str">
        <f>D129</f>
        <v>brank</v>
      </c>
      <c r="I128" s="6" t="s">
        <v>11</v>
      </c>
      <c r="J128" s="7" t="str">
        <f>H129</f>
        <v>bpool</v>
      </c>
    </row>
    <row r="129" spans="1:10" x14ac:dyDescent="0.2">
      <c r="A129" t="s">
        <v>48</v>
      </c>
      <c r="B129" s="1">
        <v>0</v>
      </c>
      <c r="C129" s="2" t="s">
        <v>3</v>
      </c>
      <c r="D129" s="3" t="s">
        <v>9</v>
      </c>
      <c r="E129" s="3"/>
      <c r="F129" s="16" t="s">
        <v>13</v>
      </c>
      <c r="G129" s="17" t="e">
        <f>(-B130)/(B129)</f>
        <v>#DIV/0!</v>
      </c>
      <c r="H129" s="2" t="str">
        <f>D130</f>
        <v>bpool</v>
      </c>
      <c r="I129" s="16" t="s">
        <v>13</v>
      </c>
      <c r="J129" s="17" t="e">
        <f>1/G129</f>
        <v>#DIV/0!</v>
      </c>
    </row>
    <row r="130" spans="1:10" x14ac:dyDescent="0.2">
      <c r="A130" t="s">
        <v>50</v>
      </c>
      <c r="B130" s="1">
        <v>0</v>
      </c>
      <c r="C130" s="2" t="s">
        <v>4</v>
      </c>
      <c r="D130" s="2" t="s">
        <v>6</v>
      </c>
      <c r="F130" s="16"/>
      <c r="G130" s="17"/>
      <c r="H130" s="3" t="str">
        <f>D129</f>
        <v>brank</v>
      </c>
      <c r="I130" s="16"/>
      <c r="J130" s="17"/>
    </row>
    <row r="131" spans="1:10" x14ac:dyDescent="0.2">
      <c r="A131" t="s">
        <v>8</v>
      </c>
      <c r="B131" s="1">
        <v>0</v>
      </c>
      <c r="F131" s="6" t="s">
        <v>12</v>
      </c>
      <c r="G131" s="8" t="str">
        <f>D130</f>
        <v>bpool</v>
      </c>
      <c r="I131" s="6" t="s">
        <v>12</v>
      </c>
      <c r="J131" s="8" t="str">
        <f>H130</f>
        <v>brank</v>
      </c>
    </row>
    <row r="133" spans="1:10" x14ac:dyDescent="0.2">
      <c r="A133" t="s">
        <v>55</v>
      </c>
      <c r="B133" s="1" t="s">
        <v>56</v>
      </c>
    </row>
    <row r="134" spans="1:10" x14ac:dyDescent="0.2">
      <c r="D134" s="5" t="s">
        <v>10</v>
      </c>
      <c r="E134" s="5"/>
      <c r="F134" s="6" t="s">
        <v>11</v>
      </c>
      <c r="G134" s="7" t="str">
        <f>D135</f>
        <v>brank</v>
      </c>
      <c r="I134" s="6" t="s">
        <v>11</v>
      </c>
      <c r="J134" s="7" t="str">
        <f>H135</f>
        <v>bself</v>
      </c>
    </row>
    <row r="135" spans="1:10" x14ac:dyDescent="0.2">
      <c r="A135" t="s">
        <v>47</v>
      </c>
      <c r="B135" s="1">
        <v>0</v>
      </c>
      <c r="C135" s="2" t="s">
        <v>3</v>
      </c>
      <c r="D135" s="3" t="s">
        <v>9</v>
      </c>
      <c r="E135" s="3"/>
      <c r="F135" s="16" t="s">
        <v>13</v>
      </c>
      <c r="G135" s="17" t="e">
        <f>(-B136)/(B135)</f>
        <v>#DIV/0!</v>
      </c>
      <c r="H135" s="2" t="str">
        <f>D136</f>
        <v>bself</v>
      </c>
      <c r="I135" s="16" t="s">
        <v>13</v>
      </c>
      <c r="J135" s="17" t="e">
        <f>1/G135</f>
        <v>#DIV/0!</v>
      </c>
    </row>
    <row r="136" spans="1:10" x14ac:dyDescent="0.2">
      <c r="A136" t="s">
        <v>50</v>
      </c>
      <c r="B136" s="1">
        <v>0</v>
      </c>
      <c r="C136" s="2" t="s">
        <v>4</v>
      </c>
      <c r="D136" s="2" t="s">
        <v>51</v>
      </c>
      <c r="F136" s="16"/>
      <c r="G136" s="17"/>
      <c r="H136" s="3" t="str">
        <f>D135</f>
        <v>brank</v>
      </c>
      <c r="I136" s="16"/>
      <c r="J136" s="17"/>
    </row>
    <row r="137" spans="1:10" x14ac:dyDescent="0.2">
      <c r="A137" t="s">
        <v>52</v>
      </c>
      <c r="B137" s="1">
        <v>0</v>
      </c>
      <c r="F137" s="6" t="s">
        <v>12</v>
      </c>
      <c r="G137" s="8" t="str">
        <f>D136</f>
        <v>bself</v>
      </c>
      <c r="I137" s="6" t="s">
        <v>12</v>
      </c>
      <c r="J137" s="8" t="str">
        <f>H136</f>
        <v>brank</v>
      </c>
    </row>
  </sheetData>
  <mergeCells count="92">
    <mergeCell ref="F135:F136"/>
    <mergeCell ref="G135:G136"/>
    <mergeCell ref="I135:I136"/>
    <mergeCell ref="J135:J136"/>
    <mergeCell ref="F123:F124"/>
    <mergeCell ref="G123:G124"/>
    <mergeCell ref="I123:I124"/>
    <mergeCell ref="J123:J124"/>
    <mergeCell ref="F129:F130"/>
    <mergeCell ref="G129:G130"/>
    <mergeCell ref="I129:I130"/>
    <mergeCell ref="J129:J130"/>
    <mergeCell ref="F81:F82"/>
    <mergeCell ref="G81:G82"/>
    <mergeCell ref="I81:I82"/>
    <mergeCell ref="J81:J82"/>
    <mergeCell ref="F87:F88"/>
    <mergeCell ref="G87:G88"/>
    <mergeCell ref="I87:I88"/>
    <mergeCell ref="J87:J88"/>
    <mergeCell ref="F69:F70"/>
    <mergeCell ref="G69:G70"/>
    <mergeCell ref="I69:I70"/>
    <mergeCell ref="J69:J70"/>
    <mergeCell ref="F75:F76"/>
    <mergeCell ref="G75:G76"/>
    <mergeCell ref="I75:I76"/>
    <mergeCell ref="J75:J76"/>
    <mergeCell ref="F3:F4"/>
    <mergeCell ref="G3:G4"/>
    <mergeCell ref="I3:I4"/>
    <mergeCell ref="J3:J4"/>
    <mergeCell ref="F63:F64"/>
    <mergeCell ref="G63:G64"/>
    <mergeCell ref="I63:I64"/>
    <mergeCell ref="J63:J64"/>
    <mergeCell ref="F9:F10"/>
    <mergeCell ref="G9:G10"/>
    <mergeCell ref="I9:I10"/>
    <mergeCell ref="J9:J10"/>
    <mergeCell ref="F15:F16"/>
    <mergeCell ref="G15:G16"/>
    <mergeCell ref="I15:I16"/>
    <mergeCell ref="J15:J16"/>
    <mergeCell ref="F21:F22"/>
    <mergeCell ref="G21:G22"/>
    <mergeCell ref="I21:I22"/>
    <mergeCell ref="J21:J22"/>
    <mergeCell ref="F27:F28"/>
    <mergeCell ref="G27:G28"/>
    <mergeCell ref="I27:I28"/>
    <mergeCell ref="J27:J28"/>
    <mergeCell ref="F33:F34"/>
    <mergeCell ref="G33:G34"/>
    <mergeCell ref="I33:I34"/>
    <mergeCell ref="J33:J34"/>
    <mergeCell ref="F39:F40"/>
    <mergeCell ref="G39:G40"/>
    <mergeCell ref="I39:I40"/>
    <mergeCell ref="J39:J40"/>
    <mergeCell ref="F57:F58"/>
    <mergeCell ref="G57:G58"/>
    <mergeCell ref="I57:I58"/>
    <mergeCell ref="J57:J58"/>
    <mergeCell ref="F45:F46"/>
    <mergeCell ref="G45:G46"/>
    <mergeCell ref="I45:I46"/>
    <mergeCell ref="J45:J46"/>
    <mergeCell ref="F51:F52"/>
    <mergeCell ref="G51:G52"/>
    <mergeCell ref="I51:I52"/>
    <mergeCell ref="J51:J52"/>
    <mergeCell ref="F93:F94"/>
    <mergeCell ref="G93:G94"/>
    <mergeCell ref="I93:I94"/>
    <mergeCell ref="J93:J94"/>
    <mergeCell ref="F99:F100"/>
    <mergeCell ref="G99:G100"/>
    <mergeCell ref="I99:I100"/>
    <mergeCell ref="J99:J100"/>
    <mergeCell ref="F105:F106"/>
    <mergeCell ref="G105:G106"/>
    <mergeCell ref="F111:F112"/>
    <mergeCell ref="G111:G112"/>
    <mergeCell ref="F117:F118"/>
    <mergeCell ref="G117:G118"/>
    <mergeCell ref="I105:I106"/>
    <mergeCell ref="J105:J106"/>
    <mergeCell ref="I111:I112"/>
    <mergeCell ref="J111:J112"/>
    <mergeCell ref="I117:I118"/>
    <mergeCell ref="J117:J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 CTR</dc:creator>
  <cp:lastModifiedBy>Levine, Charles R CTR</cp:lastModifiedBy>
  <dcterms:created xsi:type="dcterms:W3CDTF">2026-02-09T19:36:42Z</dcterms:created>
  <dcterms:modified xsi:type="dcterms:W3CDTF">2026-03-05T14:52:59Z</dcterms:modified>
</cp:coreProperties>
</file>